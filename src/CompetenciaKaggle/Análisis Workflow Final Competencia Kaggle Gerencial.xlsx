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mc:AlternateContent xmlns:mc="http://schemas.openxmlformats.org/markup-compatibility/2006">
    <mc:Choice Requires="x15">
      <x15ac:absPath xmlns:x15ac="http://schemas.microsoft.com/office/spreadsheetml/2010/11/ac" url="https://tenaris-my.sharepoint.com/personal/lpereyrahuertas_tenaris_com/Documents/Documents/Lucia PH/Maestria/2509 Laboratorio de Implementación I/Competencia Kaggle/"/>
    </mc:Choice>
  </mc:AlternateContent>
  <xr:revisionPtr revIDLastSave="1117" documentId="11_AD86DFB9FF40A650A617AC056EA607A889C36CC9" xr6:coauthVersionLast="47" xr6:coauthVersionMax="47" xr10:uidLastSave="{7AE968B8-DFC3-4B85-BB78-D2913DE2B672}"/>
  <bookViews>
    <workbookView xWindow="28680" yWindow="-120" windowWidth="29040" windowHeight="15720" xr2:uid="{00000000-000D-0000-FFFF-FFFF00000000}"/>
  </bookViews>
  <sheets>
    <sheet name="Resultados" sheetId="6" r:id="rId1"/>
    <sheet name="Pasos a Seguir" sheetId="5" r:id="rId2"/>
    <sheet name="Experimentos" sheetId="1" r:id="rId3"/>
    <sheet name="Hyperparameters" sheetId="8" r:id="rId4"/>
    <sheet name="Variables Rotas" sheetId="3" r:id="rId5"/>
  </sheets>
  <calcPr calcId="191029"/>
  <pivotCaches>
    <pivotCache cacheId="56"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8" i="6" l="1"/>
  <c r="T30" i="6"/>
  <c r="U30" i="6" s="1"/>
  <c r="T31" i="6"/>
  <c r="T32" i="6"/>
  <c r="T33" i="6"/>
  <c r="T34" i="6"/>
  <c r="T35" i="6"/>
  <c r="T29" i="6"/>
  <c r="U29" i="6" s="1"/>
  <c r="V21" i="6"/>
  <c r="U21" i="6"/>
  <c r="T21" i="6"/>
  <c r="R21" i="6"/>
  <c r="S21" i="6"/>
  <c r="U35" i="6" s="1"/>
  <c r="Q21" i="6"/>
  <c r="P21" i="6"/>
  <c r="O21" i="6"/>
  <c r="N21" i="6"/>
  <c r="M21" i="6"/>
  <c r="L21" i="6"/>
  <c r="W19" i="6"/>
  <c r="Z19" i="6" s="1"/>
  <c r="X19" i="6"/>
  <c r="H19" i="6"/>
  <c r="F19" i="6"/>
  <c r="E19" i="6"/>
  <c r="B19" i="6"/>
  <c r="W14" i="6"/>
  <c r="Z14" i="6" s="1"/>
  <c r="W15" i="6"/>
  <c r="Z15" i="6" s="1"/>
  <c r="W16" i="6"/>
  <c r="Z16" i="6" s="1"/>
  <c r="W17" i="6"/>
  <c r="Z17" i="6" s="1"/>
  <c r="W18" i="6"/>
  <c r="W13" i="6"/>
  <c r="J10" i="6"/>
  <c r="K10" i="6"/>
  <c r="I10" i="6"/>
  <c r="X14" i="6"/>
  <c r="X15" i="6"/>
  <c r="X16" i="6"/>
  <c r="X17" i="6"/>
  <c r="X18" i="6"/>
  <c r="H14" i="6"/>
  <c r="H15" i="6"/>
  <c r="H16" i="6"/>
  <c r="H17" i="6"/>
  <c r="H18" i="6"/>
  <c r="H13" i="6"/>
  <c r="E14" i="6"/>
  <c r="F14" i="6"/>
  <c r="E15" i="6"/>
  <c r="F15" i="6"/>
  <c r="E16" i="6"/>
  <c r="F16" i="6"/>
  <c r="E17" i="6"/>
  <c r="F17" i="6"/>
  <c r="E18" i="6"/>
  <c r="F18" i="6"/>
  <c r="F13" i="6"/>
  <c r="E13" i="6"/>
  <c r="B18" i="6"/>
  <c r="B14" i="6"/>
  <c r="B15" i="6"/>
  <c r="B16" i="6"/>
  <c r="B17" i="6"/>
  <c r="B13" i="6"/>
  <c r="G13" i="6"/>
  <c r="C13" i="6"/>
  <c r="O24" i="6" l="1"/>
  <c r="U24" i="6"/>
  <c r="U32" i="6"/>
  <c r="U31" i="6"/>
  <c r="U34" i="6"/>
  <c r="U33" i="6"/>
  <c r="M2" i="6"/>
  <c r="N2" i="6" s="1"/>
  <c r="O2" i="6" s="1"/>
  <c r="P2" i="6" s="1"/>
  <c r="Q2" i="6" s="1"/>
  <c r="R2" i="6" s="1"/>
  <c r="S2" i="6" s="1"/>
  <c r="T2" i="6" s="1"/>
  <c r="U2" i="6" s="1"/>
  <c r="V2" i="6" s="1"/>
  <c r="R10" i="6"/>
  <c r="R22" i="6"/>
  <c r="R24" i="6" s="1"/>
  <c r="Q10" i="6"/>
  <c r="Q22" i="6"/>
  <c r="Q24" i="6" s="1"/>
  <c r="X13" i="6"/>
  <c r="Z13" i="6" s="1"/>
  <c r="L10" i="6"/>
  <c r="L22" i="6"/>
  <c r="L24" i="6" s="1"/>
  <c r="S22" i="6"/>
  <c r="S24" i="6" s="1"/>
  <c r="S10" i="6"/>
  <c r="P22" i="6"/>
  <c r="P24" i="6" s="1"/>
  <c r="P10" i="6"/>
  <c r="U10" i="6"/>
  <c r="U22" i="6"/>
  <c r="O22" i="6"/>
  <c r="O10" i="6"/>
  <c r="T22" i="6"/>
  <c r="T24" i="6" s="1"/>
  <c r="T10" i="6"/>
  <c r="V10" i="6"/>
  <c r="V22" i="6"/>
  <c r="V24" i="6" s="1"/>
  <c r="N10" i="6"/>
  <c r="N22" i="6"/>
  <c r="N24" i="6" s="1"/>
  <c r="M10" i="6"/>
  <c r="M22" i="6"/>
  <c r="M24"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PEREYRA HUERTAS Lucia TENARIS</author>
  </authors>
  <commentList>
    <comment ref="D2" authorId="0" shapeId="0" xr:uid="{C4D2FF77-BFA8-4F3B-97B3-5CC311BFBDF7}">
      <text>
        <r>
          <rPr>
            <b/>
            <sz val="9"/>
            <color indexed="81"/>
            <rFont val="Tahoma"/>
            <family val="2"/>
          </rPr>
          <t>PEREYRA HUERTAS Lucia TENARIS:</t>
        </r>
        <r>
          <rPr>
            <sz val="9"/>
            <color indexed="81"/>
            <rFont val="Tahoma"/>
            <family val="2"/>
          </rPr>
          <t xml:space="preserve">
Observar que algunos me quedaron 6800 y otros 6300 por error.</t>
        </r>
      </text>
    </comment>
  </commentList>
</comments>
</file>

<file path=xl/sharedStrings.xml><?xml version="1.0" encoding="utf-8"?>
<sst xmlns="http://schemas.openxmlformats.org/spreadsheetml/2006/main" count="513" uniqueCount="282">
  <si>
    <t>Problema N°</t>
  </si>
  <si>
    <t>Nombre Experimento</t>
  </si>
  <si>
    <t>Hipotesis utilizada</t>
  </si>
  <si>
    <t>Probado por</t>
  </si>
  <si>
    <t>Observaciones</t>
  </si>
  <si>
    <t>Link Repo:</t>
  </si>
  <si>
    <t>A</t>
  </si>
  <si>
    <t>La adición de nuevas features mejoran el rendimiento del modelo, especialmente si se utilizan variables del dataset original y si tienen mayor importancia según el gain.</t>
  </si>
  <si>
    <t>https://github.com/fernandopaganiniaustral/labo2025v/tree/main/experimento_colaborativo_03_grupoA</t>
  </si>
  <si>
    <t>B</t>
  </si>
  <si>
    <t>Se recomienda emplear el FE manual sólo si se cuenta con el tiempo suficiente para plantear un conjunto de variables numeroso y con sentido financiero, de lo contrario se recomienda optar por otras alternativas más automáticas.</t>
  </si>
  <si>
    <t>https://github.com/Pau-Cal/Experimento-Lab-I-2025</t>
  </si>
  <si>
    <t>“¿Es funcional una Optimización Bayesiana que intente optimizar 16 hiperparámetros al mismo tiempo?”</t>
  </si>
  <si>
    <r>
      <rPr>
        <sz val="10"/>
        <color theme="1"/>
        <rFont val="Arial"/>
      </rPr>
      <t xml:space="preserve">Ganancia sin mejora
Tiempo de corrida similares
</t>
    </r>
    <r>
      <rPr>
        <b/>
        <sz val="10"/>
        <color theme="1"/>
        <rFont val="Arial"/>
      </rPr>
      <t>modelo que considera pos_bagging_fraction, neg_bagging_fraction y bagging_fraction = 1</t>
    </r>
    <r>
      <rPr>
        <sz val="10"/>
        <color theme="1"/>
        <rFont val="Arial"/>
      </rPr>
      <t xml:space="preserve"> presentan dispersión menor</t>
    </r>
  </si>
  <si>
    <t xml:space="preserve">Sin Git en la presentación </t>
  </si>
  <si>
    <t>“Estabilidad del modelo predictivo frente al Undersampling”</t>
  </si>
  <si>
    <t>PARAM$trainingstrategy$training_pct &lt;- 0.5</t>
  </si>
  <si>
    <r>
      <rPr>
        <u/>
        <sz val="9"/>
        <color rgb="FF1155CC"/>
        <rFont val="Montserrat,sans-serif"/>
      </rPr>
      <t>https://github.com/claralynch/Labo1_Grupo13</t>
    </r>
  </si>
  <si>
    <t>Un experimento sobre GBDT, Random Forest, Dat y el immpacto de la aleatoriedad</t>
  </si>
  <si>
    <t>Estabilidad de los modelos en el tiempo</t>
  </si>
  <si>
    <t>Si los datos son mas antiguos la ganancia tiende a disminuir</t>
  </si>
  <si>
    <t>https://github.com/emiksiazenicer/labo2025v/tree/main/src/Experimento17/corridas/Flow</t>
  </si>
  <si>
    <t>a reocmendacion es usar BO comun, una sola semilla, porq las ganancias dan similares pero es mucho mas tiempo de corrida la de 5 semillas.</t>
  </si>
  <si>
    <t>https://github.com/luciaphmaestria/labo2025v/tree/main/src/workflows/Experimento18</t>
  </si>
  <si>
    <t>https://github.com/carlos-aular-ds/labo2025v/blob/pesos1-temp-08vcpu-128ram-20251115-141911/src/workflows/ex4-950_WorkFlow_01_senior.ipynb</t>
  </si>
  <si>
    <t>Categoria</t>
  </si>
  <si>
    <t>Catastrophe Analysis</t>
  </si>
  <si>
    <t>“Encontrar el mejor método para corregir las variables rotas que fueron asignadas a cero”</t>
  </si>
  <si>
    <t>Patricia Sandagorda</t>
  </si>
  <si>
    <t>Sofi + Nico Caggiano</t>
  </si>
  <si>
    <t>https://github.com/scremydas/labo2025v/tree/main/src/workflows/Experimento</t>
  </si>
  <si>
    <t>- Estadistica Clasica es el que mas overfitting da, pero mayor ganancia mediana mas alta
- Segundo de gnanacia mediana  es el de Machine Learning con menos variabilidad.
- Metodo Vago menor tiempo de ejecucion y mediana mas baja
-Recomendacion: Usar el de ML</t>
  </si>
  <si>
    <t>Método del vago (no hacer nada) da mayores ganancias pero mas dispersión (overfitting)
Más rápidos: Vago y ML. Recomendacion: Método del Vago</t>
  </si>
  <si>
    <t>https://github.com/patriciasandagorda/labo2025v/tree/main/src/workflows/experimento
Para replicar el método recomendado ML no se debe modificar nada del workflow (ML viene por default)</t>
  </si>
  <si>
    <t>Santiago Turguret - Analia Jaime</t>
  </si>
  <si>
    <t>Data Drifting</t>
  </si>
  <si>
    <t>Variables Monetarias</t>
  </si>
  <si>
    <t>Recomendacion: Usar ajuste por indice de la FAPCE. Pero las curvas tienen tendencia general similar (vs dolar oficial BNA)</t>
  </si>
  <si>
    <t>https://github.com/analiajaime/ExperimentosDataDrifting</t>
  </si>
  <si>
    <t>Variables manuales de Feature Engineering”</t>
  </si>
  <si>
    <t>Feature Engineering</t>
  </si>
  <si>
    <t>Fernando Paganini y Baltazar Villanueva</t>
  </si>
  <si>
    <t>Keiver Nuñez</t>
  </si>
  <si>
    <t>https://github.com/keiverdatascience/labo2025v/tree/main/src/experimento_03</t>
  </si>
  <si>
    <t>A Y B</t>
  </si>
  <si>
    <t>“Variables derivadas del Random Forest”</t>
  </si>
  <si>
    <t>Mark Hayden Joyce - Carola de la Colina - Paula Calviello</t>
  </si>
  <si>
    <t>No se entiende. No aplicar. PARAM$hiperparametertuning$num_iterations &lt;-20</t>
  </si>
  <si>
    <t>Feature Engineering Histórico</t>
  </si>
  <si>
    <t>Tomas Rodriguez Zurro, Ornela Corsetti</t>
  </si>
  <si>
    <t>Nicolás Horn, Aime Giorlando</t>
  </si>
  <si>
    <t>Enlace al código correspondiente (sección 9.3.1.5 FEhist):  https://github.com/orcorsetti/labo2025v/blob/main/src/workflows/910_WorkFlow_01_junior_exp03_100193.ipynb</t>
  </si>
  <si>
    <t>Incluir las variables generadas por el RF en el Feature Engineering Histórico
Utilizar el método de ratios sobre las Exponential Moving Average de las variables</t>
  </si>
  <si>
    <t>-La mayor ganancia fue con el feature engeneering completo “WF616”
-Recomendacion: Si buscas relacion ganancia y tiempo usar Fast track “WF618”. Si buscas maximizar la ganancia lo mas posible usar Full Performance “WF616”</t>
  </si>
  <si>
    <r>
      <t>https://github.com/nicohorn/labo2025v</t>
    </r>
    <r>
      <rPr>
        <u/>
        <sz val="10"/>
        <color theme="10"/>
        <rFont val="Arial"/>
        <family val="2"/>
        <scheme val="minor"/>
      </rPr>
      <t xml:space="preserve"> </t>
    </r>
  </si>
  <si>
    <t>Canaritos Asesinos</t>
  </si>
  <si>
    <t>A y B</t>
  </si>
  <si>
    <t>Requiere lato computer literacy. Nadie lo hizo</t>
  </si>
  <si>
    <t>-</t>
  </si>
  <si>
    <t>Training Strategy</t>
  </si>
  <si>
    <t>Utilización de los meses de pandemia</t>
  </si>
  <si>
    <t>Maximiliano Vergara (jr) , Juan Ton (jr). Cacabelos Martin</t>
  </si>
  <si>
    <t>Grupo A:Más datos es mejor, no hay que sacar ningún mes de pandemia. 
Grupo B: Sacar solo los meses con churn extremo</t>
  </si>
  <si>
    <t>Grupo B: https://github.com/martin-cacabelos/labo2025v/blob/eea6984bc516bd571f120d325c31fd11e6cfa9d8/src/workflows/610_WorkFlow_01_gerencial_julio.ipynb</t>
  </si>
  <si>
    <t>Agregar más datos históricos mejora la estrategia del entrenamiento?</t>
  </si>
  <si>
    <t>Aular Carlos (Sr), Pedrozo Juan Martin (Sr) Grupo B: Franco Regeiro</t>
  </si>
  <si>
    <t>competencia Senior. Mayor cantidad de meses históricos mayor es la ganancia, pero también mayor tiempo de entrenamiento. Recomendacion: Estrategia de pesos por año (ver script)</t>
  </si>
  <si>
    <t>Hyperparameter Tuning</t>
  </si>
  <si>
    <t xml:space="preserve"> jorge1 : https://github.com/jwbarbona/labo2025v/tree/main/Prob_09 
Jorge2: https://github.com/epare2496-commits/labo2025v/tree/main/Prob_09
Leonardo: https://github.com/LeonardoGastaldo/labo2025v/tree/main/src/workflows</t>
  </si>
  <si>
    <t xml:space="preserve">Recominedad optimizar 6 (para mi es mucho) y de los mas comunes NO hay diferencia estadísticamente significativa entre ninguno de los pares de Hiperparametros con un nivel de significancia del 5%.
No encontramos evidencia estadística significativa que mejore el modelo cuando se envía a optimizar una mayor cantidad de hiperparámetros.
</t>
  </si>
  <si>
    <t>Jorge Barbona y Leonardo Gastaldo</t>
  </si>
  <si>
    <t>Tratando el desbalanceo en LightGBM</t>
  </si>
  <si>
    <t>Francisco Chiavassa</t>
  </si>
  <si>
    <t>Compara is unbalance = TRUE // scale_pos_weight // pos_bagging_fraction &amp; neg_bagging_fraction. El balanceo de clases no garantiza mayor ganancia
Modelos sin balanceo competitivos en algunos casos</t>
  </si>
  <si>
    <t>Juan Manuel Molina</t>
  </si>
  <si>
    <t>Undersampling</t>
  </si>
  <si>
    <t>Modificar el undersampling entre los valores:  0.5 - 0.4 - 0.3 .</t>
  </si>
  <si>
    <t>Gabi y Jaime - Diego</t>
  </si>
  <si>
    <t>Comparación de métricas para guiar la Optimización Bayesiana en LightGBM</t>
  </si>
  <si>
    <t>Reducir la dimensionalidad mejora el modelo predictivo?</t>
  </si>
  <si>
    <t>se recomienda trabajar con el dataset original y no aplicar ningún método de reducción de dimensionalidad. el uso de PCA no aporta beneficios en términos de ganancias y, por el contrario, introduce degradación en el rendimiento.</t>
  </si>
  <si>
    <t>Clara Lynch . Delfina Pons Guisano. Fernando Yañez</t>
  </si>
  <si>
    <t>Bohn Nicolas - Durá Benjamin</t>
  </si>
  <si>
    <t>A (no hay B)</t>
  </si>
  <si>
    <t>Campos clave en datos de entrenamiento. Mantenerlos o hacerlos nulos?</t>
  </si>
  <si>
    <t>¿Eliminar meses malos mejora la ganancia?</t>
  </si>
  <si>
    <t>New</t>
  </si>
  <si>
    <t>Analia y Yo</t>
  </si>
  <si>
    <t>Paniagua - Dagostino - Carabajal</t>
  </si>
  <si>
    <t>el método de boosting óptimo a utilizar es GBDT porque permite obtener las mayores ganancias con menor costo computacional y tiempo.
El workflow por default se encuentra configurado para utilizar el método de boosting: GBDT.
RECOMENDAMOS NO MODIFICAR NADA DEL CÓDIGO</t>
  </si>
  <si>
    <t>https://github.com/mateodagos221292/Austral_Lab_Exp_Boosting_2025.git</t>
  </si>
  <si>
    <t>Lo uso?</t>
  </si>
  <si>
    <t>Modifica codigo?</t>
  </si>
  <si>
    <t>Modificación</t>
  </si>
  <si>
    <t>Coincidencia?</t>
  </si>
  <si>
    <t>SI</t>
  </si>
  <si>
    <t>NO</t>
  </si>
  <si>
    <t>Indice FACPE o BNA</t>
  </si>
  <si>
    <t>Agregar nuevas features</t>
  </si>
  <si>
    <t>Definir hiperparámetros a optimizar y rangos</t>
  </si>
  <si>
    <t>Probar con 0.5, 0.4 y 0.3</t>
  </si>
  <si>
    <t>Cintia Sosa y Carmen Tello. Julia Maxwell, Matias Farias</t>
  </si>
  <si>
    <t>Nuestra recomendación es utilizar la métrica AUC para la Optimización Bayesiana.
Guiar la BO por AUC. Es la métrica que mejor equilibra rendimiento, estabilidad y costo computacional. Ganancia no es recomendable como función objetivo porque es inestable, más lenta y no mejora los resultados.</t>
  </si>
  <si>
    <t xml:space="preserve">https://github.com/carmentello/labo2025v/tree/main/src/experimento_metricaOptimizacion
https://github.com/cchasampi/experimento12
https://github.com/matifards/labo2025v/blob/main/src/workflows/WorkFlow_junior_julio-Ganancia.ipynb
</t>
  </si>
  <si>
    <t>AUC</t>
  </si>
  <si>
    <t>Dataset original</t>
  </si>
  <si>
    <t>GBDT</t>
  </si>
  <si>
    <t>Gastón Viveros // Sol Gabriele Peruilh- Ezequiel Baglieri</t>
  </si>
  <si>
    <t>Se recomienda adoptar la configuración del Experimento 4, excluyendo tanto numero_de_cliente como foto_mes.
Las variables numero_de_cliente y foto_mes no aportan información útil para la detección de patrones generales, ya que actúan únicamente como identificadores y no como atributos descriptivos del comportamiento</t>
  </si>
  <si>
    <t>https://github.com/gastonviveros2411/labo2025v/blob/main/Problema_16_grupo_A.ipynb
https://github.com/EzequielBaglieri/labo2025v/tree/main/src/workflows/Experimentos</t>
  </si>
  <si>
    <t>Eliminar campos numero de cliente y foto mes</t>
  </si>
  <si>
    <t>emiliano ksiazenicer, lucas kuringhian // Sandra Schicchi, Roxana Albert</t>
  </si>
  <si>
    <t>Dado que la ganancia del modelo final sin “meses malos” es menor a la del baseline, podemos afirmar que no mejora la ganancia eliminarlos del entrenamiento
Recomendamos mantener el conjunto de datos completo de 12 meses para mayor robustez.</t>
  </si>
  <si>
    <t>BO con 1 sola semilla</t>
  </si>
  <si>
    <t>#</t>
  </si>
  <si>
    <t>Grupo</t>
  </si>
  <si>
    <t>BO robusta vs BO simple</t>
  </si>
  <si>
    <t>Full Performance</t>
  </si>
  <si>
    <t>Status</t>
  </si>
  <si>
    <t>DONE</t>
  </si>
  <si>
    <t>NA</t>
  </si>
  <si>
    <t>num_leaves</t>
  </si>
  <si>
    <t>min_data_in_leaf</t>
  </si>
  <si>
    <t>Ganancias Kaggle Envios</t>
  </si>
  <si>
    <t>minutos BO</t>
  </si>
  <si>
    <t>BO iterations</t>
  </si>
  <si>
    <t>Machine Learning (NA) // Vago</t>
  </si>
  <si>
    <t>num_iterations / n_estimators</t>
  </si>
  <si>
    <t>early_stopping_rounds</t>
  </si>
  <si>
    <t>learning_rate</t>
  </si>
  <si>
    <t>feature_fraction</t>
  </si>
  <si>
    <t>Hiperparametros optimos</t>
  </si>
  <si>
    <t>Data Drifting + FE + Eliminar FotoMes</t>
  </si>
  <si>
    <t>BO opt learning_rate</t>
  </si>
  <si>
    <t>HP base. +lags 3 y 6.</t>
  </si>
  <si>
    <t>Semilla</t>
  </si>
  <si>
    <t>Descripción Experimento</t>
  </si>
  <si>
    <t>learning_ rate</t>
  </si>
  <si>
    <t>min_data_ in_leaf</t>
  </si>
  <si>
    <t>num_ iterations</t>
  </si>
  <si>
    <t>Notebook WF</t>
  </si>
  <si>
    <t>Ganancia Media</t>
  </si>
  <si>
    <t>Desvío Estandar</t>
  </si>
  <si>
    <t>Ganancias</t>
  </si>
  <si>
    <t>Distancia al promedio</t>
  </si>
  <si>
    <t>Workflow</t>
  </si>
  <si>
    <t>Prueba</t>
  </si>
  <si>
    <t>Final</t>
  </si>
  <si>
    <t>Media Movil Exponencial - Hice lags 1 2 3 6</t>
  </si>
  <si>
    <t>Hiperparámetro</t>
  </si>
  <si>
    <t>Qué controla</t>
  </si>
  <si>
    <t>Rango típico (para optimización)</t>
  </si>
  <si>
    <t>!</t>
  </si>
  <si>
    <t>Impacto</t>
  </si>
  <si>
    <t>A Optimizar</t>
  </si>
  <si>
    <t>Valor/es</t>
  </si>
  <si>
    <t>Comentario</t>
  </si>
  <si>
    <t>Nivel de impacto</t>
  </si>
  <si>
    <t>Hiperparámetros clave</t>
  </si>
  <si>
    <t>Número total de árboles a entrenar</t>
  </si>
  <si>
    <t>100–3000 (usar early stopping)</t>
  </si>
  <si>
    <t>⚙️ Medio (junto con learning_rate)</t>
  </si>
  <si>
    <t>X</t>
  </si>
  <si>
    <t>Ver Experimentos</t>
  </si>
  <si>
    <t>🔥 Alto</t>
  </si>
  <si>
    <t>learning_rate, num_leaves, min_data_in_leaf</t>
  </si>
  <si>
    <t>Cuánto se ajusta el modelo en cada árbol (shrinkage)</t>
  </si>
  <si>
    <t>0.005–0.2</t>
  </si>
  <si>
    <t>⚙️ Medio</t>
  </si>
  <si>
    <t>feature_fraction, bagging_fraction, max_depth, boosting, max_bin</t>
  </si>
  <si>
    <t>Fracción de features usadas por árbol (submuestreo de columnas)</t>
  </si>
  <si>
    <t>0.6–1.0</t>
  </si>
  <si>
    <t>⚙️ Medio–Alto</t>
  </si>
  <si>
    <t>🧩 Bajo</t>
  </si>
  <si>
    <t>lambda_l1, lambda_l2, min_gain_to_split, bagging_freq, etc.</t>
  </si>
  <si>
    <t>Mínimo de filas por hoja (controla sobreajuste)</t>
  </si>
  <si>
    <t>10–200</t>
  </si>
  <si>
    <t>Máx. cantidad de hojas por árbol (controla complejidad)</t>
  </si>
  <si>
    <t>15–1023 (potencia de 2−1 ideal)</t>
  </si>
  <si>
    <t>max_depth</t>
  </si>
  <si>
    <t>Profundidad máxima del árbol (–1 = sin límite)</t>
  </si>
  <si>
    <t>3–16</t>
  </si>
  <si>
    <t>log_2(num_leaves)</t>
  </si>
  <si>
    <t>Función de num_leaves</t>
  </si>
  <si>
    <t>lambda_l1</t>
  </si>
  <si>
    <t>Regularización L1 (sparsidad, fuerza ceros)</t>
  </si>
  <si>
    <t>0–5</t>
  </si>
  <si>
    <t>🧩 Bajo–Medio</t>
  </si>
  <si>
    <t>lambda_l2</t>
  </si>
  <si>
    <t>Regularización L2 (suaviza hojas)</t>
  </si>
  <si>
    <t>0–30</t>
  </si>
  <si>
    <t>min_gain_to_split</t>
  </si>
  <si>
    <t>Ganancia mínima para hacer una división (pre-poda)</t>
  </si>
  <si>
    <t>bagging_fraction</t>
  </si>
  <si>
    <t>Fracción de filas muestreadas por árbol</t>
  </si>
  <si>
    <t>bagging_freq</t>
  </si>
  <si>
    <t>Cada cuántas iteraciones aplicar bagging (0 = off)</t>
  </si>
  <si>
    <t>0–10</t>
  </si>
  <si>
    <t>Si no se aclara, el valor por defecto es 0. No hace submuestreo</t>
  </si>
  <si>
    <t>min_sum_hessian_in_leaf</t>
  </si>
  <si>
    <t>Suma mínima de hessianos por hoja (evita hojas pequeñas)</t>
  </si>
  <si>
    <t>boosting</t>
  </si>
  <si>
    <t>Tipo de boosting</t>
  </si>
  <si>
    <t>"gbdt", "dart", "goss"</t>
  </si>
  <si>
    <t>⚙️ Medio (afecta dinámica del entrenamiento)</t>
  </si>
  <si>
    <t>gbdt</t>
  </si>
  <si>
    <t>boost_from_average</t>
  </si>
  <si>
    <t>Si ajustar predicciones iniciales según promedio</t>
  </si>
  <si>
    <t>True (default, casi siempre útil)</t>
  </si>
  <si>
    <t>🧩 Bajo (rara vez se cambia)</t>
  </si>
  <si>
    <t>objective</t>
  </si>
  <si>
    <t>Función de pérdida</t>
  </si>
  <si>
    <t>"regression", "regression_l1", "binary", etc.</t>
  </si>
  <si>
    <t>⚙️ Medio (según tipo de problema)</t>
  </si>
  <si>
    <t>binary</t>
  </si>
  <si>
    <t>Problema de clasificación binaria</t>
  </si>
  <si>
    <t>first_metric_only</t>
  </si>
  <si>
    <t>Detiene early stopping solo si la primera métrica deja de mejorar</t>
  </si>
  <si>
    <t>True / False</t>
  </si>
  <si>
    <t>drop_rate</t>
  </si>
  <si>
    <t>En DART: probabilidad de “dropear” árboles</t>
  </si>
  <si>
    <t>0.0–0.5 (solo si boosting = dart)</t>
  </si>
  <si>
    <t>🧩 Bajo (solo si boosting=dart)</t>
  </si>
  <si>
    <t>No aplica (DART). Dejo el por defecto del profe</t>
  </si>
  <si>
    <t>max_drop</t>
  </si>
  <si>
    <t>Máx. árboles a dropear en DART</t>
  </si>
  <si>
    <t>10–100 (solo DART)</t>
  </si>
  <si>
    <t>🧩 Bajo (solo DART)</t>
  </si>
  <si>
    <t>skip_drop</t>
  </si>
  <si>
    <t>En DART: prob. de no dropear en un iter</t>
  </si>
  <si>
    <t>0.0–0.5 (solo DART)</t>
  </si>
  <si>
    <t>force_col_wise</t>
  </si>
  <si>
    <t>Forzar procesamiento por columnas (velocidad/memoria)</t>
  </si>
  <si>
    <t>True / False (técnico, no tuning)</t>
  </si>
  <si>
    <t>🧩 Bajo (no influye en score)</t>
  </si>
  <si>
    <t>force_row_wise</t>
  </si>
  <si>
    <t>Procesamiento por filas</t>
  </si>
  <si>
    <t>is_unbalance</t>
  </si>
  <si>
    <t>Ajusta pesos de clases si están desbalanceadas. Ajusta automáticamente el peso de la clase minoritaria durante el entrenamiento. Esto hace que los errores en la clase minoritaria tengan mayor impacto en la función de pérdida, ayudando al modelo a no ignorarla.</t>
  </si>
  <si>
    <t>True / False (solo clasificación)</t>
  </si>
  <si>
    <t>⚙️ Medio (solo clasificación)</t>
  </si>
  <si>
    <t>scale_pos_weight</t>
  </si>
  <si>
    <t>Para clases desbalanceadas. Da control manual sobre cuánto peso poner a la clase positiva. Si definís scale_pos_weight explícitamente, is_unbalance generalmente se pone en FALSE para evitar conflicto.</t>
  </si>
  <si>
    <t>1-50 o formula N_neg/N_pos</t>
  </si>
  <si>
    <t>Cuanto más desbalanceada la clase, más impacto tiene este ajuste.</t>
  </si>
  <si>
    <t>Ver nivel de desbalance de la clase</t>
  </si>
  <si>
    <t>pos_bagging_fraction</t>
  </si>
  <si>
    <t>Clases desbalanceadas. Fracción de filas de la clase positiva (minoritarios) que se usarán en cada iteración de bagging.</t>
  </si>
  <si>
    <t>0.8 - 1</t>
  </si>
  <si>
    <t>Medio</t>
  </si>
  <si>
    <t>Conviene optimizar scale_pos_weigth (1 parametro vs 2)</t>
  </si>
  <si>
    <t>neg_bagging_fraction</t>
  </si>
  <si>
    <r>
      <t xml:space="preserve">Clases desbalanceadas. Fracción de </t>
    </r>
    <r>
      <rPr>
        <b/>
        <sz val="11"/>
        <color theme="1"/>
        <rFont val="Arial"/>
        <family val="2"/>
        <scheme val="minor"/>
      </rPr>
      <t>filas de la clase negativa (mayoritarios)</t>
    </r>
    <r>
      <rPr>
        <sz val="10"/>
        <color rgb="FF000000"/>
        <rFont val="Arial"/>
        <scheme val="minor"/>
      </rPr>
      <t xml:space="preserve"> que se usarán en cada iteración de bagging.</t>
    </r>
  </si>
  <si>
    <t>0.5 - 0.8</t>
  </si>
  <si>
    <t>max_bin</t>
  </si>
  <si>
    <t>N° máx. de bins para discretizar features continuas</t>
  </si>
  <si>
    <t>64–512</t>
  </si>
  <si>
    <t>⚙️ Medio (puede afectar velocidad y precisión)</t>
  </si>
  <si>
    <t>31L</t>
  </si>
  <si>
    <t>Para la mayoría de los casos se deja fijo en valores estándar como 31, 63 o 127. Solo tiene sentido si estás limitado por memoria o velocidad, o si quieres pequeños ajustes de precisión.</t>
  </si>
  <si>
    <t>Se usa para detener el entrenamiento antes de completar todas las iteraciones, cuando el modelo deja de mejorar.
El modelo puede hacer hasta num_iterations (árboles, en boosting). Pero si, durante N iteraciones consecutivas, la métrica (por ejemplo AUC) no mejora, el entrenamiento se detiene automáticamente.</t>
  </si>
  <si>
    <t>50–200 (según dataset)</t>
  </si>
  <si>
    <t>⚙️ Medio (controla duración del entrenamiento)</t>
  </si>
  <si>
    <t>No aclaro, entonces no freno por este motivo. Sigo hasta num_iterations</t>
  </si>
  <si>
    <t>feature_fraction_bynode</t>
  </si>
  <si>
    <t>Fracción de features por división, por split (más granular que feature_fraction)</t>
  </si>
  <si>
    <t>⚙️ Medio (afecta variedad entre divisiones)</t>
  </si>
  <si>
    <t>Si no aclaro, por defecto 1, uso todas las fetures disponibles en cada split.</t>
  </si>
  <si>
    <t>feature_pre_filter</t>
  </si>
  <si>
    <t>Antes de entrenar filtrar automáticamente features que parecen irrelevantes, es decir, aquellas que no pueden aportar ganancia al primer split.</t>
  </si>
  <si>
    <t>TRUE / FALSE</t>
  </si>
  <si>
    <t>Bajo</t>
  </si>
  <si>
    <t>Dejo por defecto del profe</t>
  </si>
  <si>
    <t>verbosity</t>
  </si>
  <si>
    <t>Controla qué tan “verbose” es LightGBM, es decir, cuánta información muestra durante el entrenamiento. -100	No mostrar ningún mensaje (silent), 0Mostrar warnings solamente, 1Mostrar información general por iteración, 2 Mostrar información detallada</t>
  </si>
  <si>
    <t>-100, 0, 1, 2</t>
  </si>
  <si>
    <t>Bajo. solo afecta los logs, no cambia el modelo ni su desempeño.</t>
  </si>
  <si>
    <t>Por defecto dejo el del profe.</t>
  </si>
  <si>
    <t>extra_trees</t>
  </si>
  <si>
    <t>TRUE Los splits de los árboles no se eligen buscando la mejor ganancia. En cambio, se elige un split aleatorio dentro de los bins de la característica seleccionada. Esto introduce aleatoriedad adicional. Conviene usarlo con dataset muy grande y con mucho ruido.</t>
  </si>
  <si>
    <t>TRUE/FALSE</t>
  </si>
  <si>
    <t>Ganancia / Desvio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</si>
</sst>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25">
    <font>
      <sz val="10"/>
      <color rgb="FF000000"/>
      <name val="Arial"/>
      <scheme val="minor"/>
    </font>
    <font>
      <sz val="11"/>
      <color theme="1"/>
      <name val="Arial"/>
      <family val="2"/>
      <scheme val="minor"/>
    </font>
    <font>
      <b/>
      <sz val="10"/>
      <color theme="1"/>
      <name val="Arial"/>
      <scheme val="minor"/>
    </font>
    <font>
      <sz val="10"/>
      <color theme="1"/>
      <name val="Arial"/>
      <scheme val="minor"/>
    </font>
    <font>
      <u/>
      <sz val="10"/>
      <color rgb="FF0000FF"/>
      <name val="Arial"/>
    </font>
    <font>
      <sz val="10"/>
      <color theme="1"/>
      <name val="Arial"/>
      <scheme val="minor"/>
    </font>
    <font>
      <u/>
      <sz val="12"/>
      <color rgb="FF000000"/>
      <name val="&quot;Times New Roman&quot;"/>
    </font>
    <font>
      <u/>
      <sz val="9"/>
      <color rgb="FF0000FF"/>
      <name val="Arial"/>
    </font>
    <font>
      <u/>
      <sz val="10"/>
      <color rgb="FF0000FF"/>
      <name val="Arial"/>
    </font>
    <font>
      <u/>
      <sz val="10"/>
      <color rgb="FF0000FF"/>
      <name val="Arial"/>
    </font>
    <font>
      <sz val="28"/>
      <color rgb="FF202729"/>
      <name val="Calibri"/>
    </font>
    <font>
      <sz val="10"/>
      <color theme="1"/>
      <name val="Arial"/>
    </font>
    <font>
      <b/>
      <sz val="10"/>
      <color theme="1"/>
      <name val="Arial"/>
    </font>
    <font>
      <u/>
      <sz val="9"/>
      <color rgb="FF1155CC"/>
      <name val="Montserrat,sans-serif"/>
    </font>
    <font>
      <u/>
      <sz val="10"/>
      <color theme="10"/>
      <name val="Arial"/>
      <scheme val="minor"/>
    </font>
    <font>
      <sz val="10"/>
      <color rgb="FF000000"/>
      <name val="Arial"/>
      <family val="2"/>
      <scheme val="minor"/>
    </font>
    <font>
      <sz val="10"/>
      <color theme="1"/>
      <name val="Arial"/>
      <family val="2"/>
      <scheme val="minor"/>
    </font>
    <font>
      <u/>
      <sz val="10"/>
      <color rgb="FF0000FF"/>
      <name val="Arial"/>
      <family val="2"/>
    </font>
    <font>
      <u/>
      <sz val="10"/>
      <color theme="10"/>
      <name val="Arial"/>
      <family val="2"/>
      <scheme val="minor"/>
    </font>
    <font>
      <b/>
      <sz val="11"/>
      <color theme="1"/>
      <name val="Arial"/>
      <family val="2"/>
      <scheme val="minor"/>
    </font>
    <font>
      <b/>
      <sz val="10"/>
      <color rgb="FF000000"/>
      <name val="Arial"/>
      <family val="2"/>
      <scheme val="minor"/>
    </font>
    <font>
      <sz val="9"/>
      <color indexed="81"/>
      <name val="Tahoma"/>
      <family val="2"/>
    </font>
    <font>
      <b/>
      <sz val="9"/>
      <color indexed="81"/>
      <name val="Tahoma"/>
      <family val="2"/>
    </font>
    <font>
      <b/>
      <sz val="11"/>
      <name val="Arial"/>
      <family val="2"/>
      <scheme val="minor"/>
    </font>
    <font>
      <u/>
      <sz val="11"/>
      <color theme="10"/>
      <name val="Arial"/>
      <family val="2"/>
      <scheme val="minor"/>
    </font>
  </fonts>
  <fills count="11">
    <fill>
      <patternFill patternType="none"/>
    </fill>
    <fill>
      <patternFill patternType="gray125"/>
    </fill>
    <fill>
      <patternFill patternType="solid">
        <fgColor rgb="FFCCCCCC"/>
        <bgColor rgb="FFCCCCCC"/>
      </patternFill>
    </fill>
    <fill>
      <patternFill patternType="solid">
        <fgColor theme="7" tint="0.79998168889431442"/>
        <bgColor theme="7"/>
      </patternFill>
    </fill>
    <fill>
      <patternFill patternType="solid">
        <fgColor theme="7" tint="0.79998168889431442"/>
        <bgColor rgb="FFB5CEA8"/>
      </patternFill>
    </fill>
    <fill>
      <patternFill patternType="solid">
        <fgColor theme="7" tint="0.79998168889431442"/>
        <bgColor indexed="64"/>
      </patternFill>
    </fill>
    <fill>
      <patternFill patternType="solid">
        <fgColor theme="7" tint="0.79998168889431442"/>
        <bgColor rgb="FFFF0000"/>
      </patternFill>
    </fill>
    <fill>
      <patternFill patternType="solid">
        <fgColor theme="6" tint="0.59999389629810485"/>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tint="0.79998168889431442"/>
        <bgColor indexed="64"/>
      </patternFill>
    </fill>
  </fills>
  <borders count="12">
    <border>
      <left/>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14" fillId="0" borderId="0" applyNumberFormat="0" applyFill="0" applyBorder="0" applyAlignment="0" applyProtection="0"/>
    <xf numFmtId="0" fontId="1" fillId="0" borderId="0"/>
    <xf numFmtId="0" fontId="24" fillId="0" borderId="0" applyNumberFormat="0" applyFill="0" applyBorder="0" applyAlignment="0" applyProtection="0"/>
  </cellStyleXfs>
  <cellXfs count="103">
    <xf numFmtId="0" fontId="0" fillId="0" borderId="0" xfId="0" applyFont="1" applyAlignment="1"/>
    <xf numFmtId="0" fontId="3" fillId="0" borderId="0" xfId="0" applyFont="1" applyAlignment="1">
      <alignment horizontal="center" vertical="center" wrapText="1"/>
    </xf>
    <xf numFmtId="0" fontId="3" fillId="0" borderId="0" xfId="0" applyFont="1" applyAlignment="1">
      <alignment vertical="center" wrapText="1"/>
    </xf>
    <xf numFmtId="0" fontId="0" fillId="0" borderId="0" xfId="0" applyFont="1" applyAlignment="1">
      <alignment wrapText="1"/>
    </xf>
    <xf numFmtId="0" fontId="5" fillId="0" borderId="0" xfId="0" applyFont="1" applyAlignment="1">
      <alignment vertical="center" wrapText="1"/>
    </xf>
    <xf numFmtId="0" fontId="4" fillId="0" borderId="0" xfId="0" applyFont="1" applyAlignment="1">
      <alignment vertical="center" wrapText="1"/>
    </xf>
    <xf numFmtId="0" fontId="2" fillId="2" borderId="0" xfId="0" applyFont="1" applyFill="1" applyAlignment="1">
      <alignment horizontal="center" vertical="center" wrapText="1"/>
    </xf>
    <xf numFmtId="0" fontId="0" fillId="0" borderId="0" xfId="0" applyFont="1" applyAlignment="1">
      <alignment vertical="center" wrapText="1"/>
    </xf>
    <xf numFmtId="0" fontId="0" fillId="0" borderId="0" xfId="0" applyFont="1" applyAlignment="1">
      <alignment horizontal="center" vertical="center" wrapText="1"/>
    </xf>
    <xf numFmtId="0" fontId="3" fillId="0" borderId="0" xfId="0" applyFont="1" applyAlignment="1">
      <alignment horizontal="left" vertical="center" wrapText="1"/>
    </xf>
    <xf numFmtId="0" fontId="2" fillId="2" borderId="0" xfId="0" applyFont="1" applyFill="1" applyAlignment="1">
      <alignment horizontal="left" vertical="center" wrapText="1"/>
    </xf>
    <xf numFmtId="0" fontId="10" fillId="0" borderId="0" xfId="0" applyFont="1" applyAlignment="1">
      <alignment horizontal="left" vertical="center" wrapText="1"/>
    </xf>
    <xf numFmtId="0" fontId="0" fillId="0" borderId="0" xfId="0" applyFont="1" applyAlignment="1">
      <alignment horizontal="left" vertical="center" wrapText="1"/>
    </xf>
    <xf numFmtId="0" fontId="3" fillId="0" borderId="0" xfId="0" applyFont="1" applyFill="1" applyAlignment="1">
      <alignment horizontal="center" vertical="center" wrapText="1"/>
    </xf>
    <xf numFmtId="0" fontId="0" fillId="0" borderId="0" xfId="0" applyFont="1" applyFill="1" applyAlignment="1">
      <alignment horizontal="center" vertical="center" wrapText="1"/>
    </xf>
    <xf numFmtId="0" fontId="16" fillId="0" borderId="0" xfId="0" applyFont="1" applyFill="1" applyBorder="1" applyAlignment="1">
      <alignment horizontal="left" vertical="center" wrapText="1"/>
    </xf>
    <xf numFmtId="0" fontId="16" fillId="0" borderId="0" xfId="0" applyFont="1" applyFill="1" applyBorder="1" applyAlignment="1">
      <alignment horizontal="center" vertical="center" wrapText="1"/>
    </xf>
    <xf numFmtId="0" fontId="15" fillId="0" borderId="0" xfId="0" applyFont="1" applyAlignment="1">
      <alignment wrapText="1"/>
    </xf>
    <xf numFmtId="0" fontId="16" fillId="0" borderId="0" xfId="0" quotePrefix="1" applyFont="1" applyFill="1" applyBorder="1" applyAlignment="1">
      <alignment horizontal="center" vertical="center" wrapText="1"/>
    </xf>
    <xf numFmtId="0" fontId="14" fillId="0" borderId="0" xfId="1" applyFill="1" applyBorder="1" applyAlignment="1">
      <alignment horizontal="center" vertical="center" wrapText="1"/>
    </xf>
    <xf numFmtId="0" fontId="16" fillId="0" borderId="0" xfId="0" quotePrefix="1" applyFont="1" applyFill="1" applyBorder="1" applyAlignment="1">
      <alignment horizontal="left" vertical="center" wrapText="1"/>
    </xf>
    <xf numFmtId="0" fontId="5" fillId="0" borderId="0" xfId="0" applyFont="1" applyAlignment="1">
      <alignment horizontal="left" vertical="center" wrapText="1"/>
    </xf>
    <xf numFmtId="0" fontId="14" fillId="0" borderId="0" xfId="1" applyFill="1" applyBorder="1" applyAlignment="1">
      <alignment vertical="center" wrapText="1"/>
    </xf>
    <xf numFmtId="0" fontId="14" fillId="0" borderId="0" xfId="1" applyAlignment="1">
      <alignment vertical="center" wrapText="1"/>
    </xf>
    <xf numFmtId="0" fontId="3" fillId="3" borderId="0" xfId="0" applyFont="1" applyFill="1" applyAlignment="1">
      <alignment horizontal="center" vertical="center" wrapText="1"/>
    </xf>
    <xf numFmtId="0" fontId="3" fillId="4" borderId="0" xfId="0" applyFont="1" applyFill="1" applyAlignment="1">
      <alignment horizontal="center" vertical="center" wrapText="1"/>
    </xf>
    <xf numFmtId="0" fontId="3" fillId="5" borderId="0" xfId="0" applyFont="1" applyFill="1" applyAlignment="1">
      <alignment horizontal="center" vertical="center" wrapText="1"/>
    </xf>
    <xf numFmtId="0" fontId="3" fillId="5" borderId="0" xfId="0" applyFont="1" applyFill="1" applyAlignment="1">
      <alignment horizontal="left" vertical="center" wrapText="1"/>
    </xf>
    <xf numFmtId="0" fontId="3" fillId="5" borderId="0" xfId="0" applyFont="1" applyFill="1" applyAlignment="1">
      <alignment vertical="center" wrapText="1"/>
    </xf>
    <xf numFmtId="0" fontId="4" fillId="5" borderId="0" xfId="0" applyFont="1" applyFill="1" applyAlignment="1">
      <alignment vertical="center" wrapText="1"/>
    </xf>
    <xf numFmtId="0" fontId="16" fillId="5" borderId="0" xfId="0" applyFont="1" applyFill="1" applyBorder="1" applyAlignment="1">
      <alignment horizontal="center" vertical="center" wrapText="1"/>
    </xf>
    <xf numFmtId="0" fontId="16" fillId="5" borderId="0" xfId="0" applyFont="1" applyFill="1" applyBorder="1" applyAlignment="1">
      <alignment horizontal="left" vertical="center" wrapText="1"/>
    </xf>
    <xf numFmtId="0" fontId="15" fillId="5" borderId="0" xfId="0" applyFont="1" applyFill="1" applyAlignment="1">
      <alignment wrapText="1"/>
    </xf>
    <xf numFmtId="0" fontId="16" fillId="0" borderId="0" xfId="0" applyFont="1" applyFill="1" applyAlignment="1">
      <alignment horizontal="center" vertical="center" wrapText="1"/>
    </xf>
    <xf numFmtId="0" fontId="16" fillId="0" borderId="0" xfId="0" applyFont="1" applyAlignment="1">
      <alignment horizontal="left" vertical="center" wrapText="1"/>
    </xf>
    <xf numFmtId="0" fontId="16" fillId="0" borderId="0" xfId="0" applyFont="1" applyAlignment="1">
      <alignment vertical="center" wrapText="1"/>
    </xf>
    <xf numFmtId="0" fontId="17" fillId="0" borderId="0" xfId="0" applyFont="1" applyAlignment="1">
      <alignment vertical="center" wrapText="1"/>
    </xf>
    <xf numFmtId="0" fontId="16" fillId="0" borderId="0" xfId="0" quotePrefix="1" applyFont="1" applyAlignment="1">
      <alignment horizontal="left" vertical="center" wrapText="1"/>
    </xf>
    <xf numFmtId="0" fontId="14" fillId="0" borderId="0" xfId="1" applyAlignment="1"/>
    <xf numFmtId="0" fontId="17" fillId="0" borderId="0" xfId="1" applyFont="1" applyAlignment="1">
      <alignment vertical="center" wrapText="1"/>
    </xf>
    <xf numFmtId="0" fontId="0" fillId="5" borderId="0" xfId="0" applyFont="1" applyFill="1" applyAlignment="1">
      <alignment horizontal="center" vertical="center" wrapText="1"/>
    </xf>
    <xf numFmtId="0" fontId="6" fillId="5" borderId="0" xfId="0" applyFont="1" applyFill="1" applyAlignment="1">
      <alignment vertical="center" wrapText="1"/>
    </xf>
    <xf numFmtId="0" fontId="3" fillId="6" borderId="0" xfId="0" applyFont="1" applyFill="1" applyAlignment="1">
      <alignment horizontal="center" vertical="center" wrapText="1"/>
    </xf>
    <xf numFmtId="0" fontId="16" fillId="5" borderId="0" xfId="0" applyFont="1" applyFill="1" applyAlignment="1">
      <alignment horizontal="center" vertical="center" wrapText="1"/>
    </xf>
    <xf numFmtId="0" fontId="7" fillId="5" borderId="0" xfId="0" applyFont="1" applyFill="1" applyAlignment="1">
      <alignment vertical="center" wrapText="1"/>
    </xf>
    <xf numFmtId="0" fontId="8" fillId="5" borderId="0" xfId="0" applyFont="1" applyFill="1" applyAlignment="1">
      <alignment vertical="center" wrapText="1"/>
    </xf>
    <xf numFmtId="0" fontId="9" fillId="5" borderId="0" xfId="0" applyFont="1" applyFill="1" applyAlignment="1">
      <alignment vertical="center" wrapText="1"/>
    </xf>
    <xf numFmtId="0" fontId="0" fillId="0" borderId="0" xfId="0" pivotButton="1" applyFont="1" applyAlignment="1"/>
    <xf numFmtId="0" fontId="0" fillId="0" borderId="0" xfId="0" pivotButton="1" applyFont="1" applyAlignment="1">
      <alignment horizontal="center" vertical="center" wrapText="1"/>
    </xf>
    <xf numFmtId="0" fontId="0" fillId="0" borderId="0" xfId="0" applyFont="1" applyAlignment="1">
      <alignment horizontal="center"/>
    </xf>
    <xf numFmtId="0" fontId="0" fillId="0" borderId="0" xfId="0" pivotButton="1" applyFont="1" applyAlignment="1">
      <alignment horizontal="center"/>
    </xf>
    <xf numFmtId="0" fontId="5" fillId="0" borderId="0" xfId="0" applyFont="1" applyAlignment="1">
      <alignment horizontal="center" vertical="center" wrapText="1"/>
    </xf>
    <xf numFmtId="0" fontId="16" fillId="0" borderId="0" xfId="0" applyFont="1" applyAlignment="1">
      <alignment horizontal="center" vertical="center" wrapText="1"/>
    </xf>
    <xf numFmtId="0" fontId="16" fillId="0" borderId="0" xfId="0" quotePrefix="1" applyFont="1" applyAlignment="1">
      <alignment horizontal="center" vertical="center" wrapText="1"/>
    </xf>
    <xf numFmtId="0" fontId="0" fillId="0" borderId="0" xfId="0" applyFont="1" applyAlignment="1">
      <alignment horizontal="center"/>
    </xf>
    <xf numFmtId="0" fontId="0" fillId="5" borderId="0" xfId="0" applyFont="1" applyFill="1" applyAlignment="1">
      <alignment horizontal="center"/>
    </xf>
    <xf numFmtId="0" fontId="0" fillId="0" borderId="0" xfId="0" applyFont="1" applyFill="1" applyAlignment="1"/>
    <xf numFmtId="0" fontId="0" fillId="0" borderId="0" xfId="0" applyFont="1" applyFill="1" applyAlignment="1">
      <alignment horizontal="center"/>
    </xf>
    <xf numFmtId="0" fontId="0" fillId="7" borderId="0" xfId="0" applyFont="1" applyFill="1" applyAlignment="1">
      <alignment horizontal="center"/>
    </xf>
    <xf numFmtId="0" fontId="15" fillId="0" borderId="0" xfId="0" applyFont="1" applyAlignment="1"/>
    <xf numFmtId="0" fontId="0" fillId="8" borderId="1" xfId="0" applyFont="1" applyFill="1" applyBorder="1" applyAlignment="1">
      <alignment vertical="center" wrapText="1"/>
    </xf>
    <xf numFmtId="0" fontId="0" fillId="8" borderId="1" xfId="0" applyFont="1" applyFill="1" applyBorder="1" applyAlignment="1">
      <alignment horizontal="center" vertical="center" wrapText="1"/>
    </xf>
    <xf numFmtId="0" fontId="20" fillId="9" borderId="2" xfId="0" applyFont="1" applyFill="1" applyBorder="1" applyAlignment="1">
      <alignment horizontal="center"/>
    </xf>
    <xf numFmtId="0" fontId="20" fillId="9" borderId="0" xfId="0" applyFont="1" applyFill="1" applyBorder="1" applyAlignment="1">
      <alignment horizontal="center"/>
    </xf>
    <xf numFmtId="0" fontId="0" fillId="8" borderId="3" xfId="0" applyFont="1" applyFill="1" applyBorder="1" applyAlignment="1">
      <alignment horizontal="center" vertical="center" wrapText="1"/>
    </xf>
    <xf numFmtId="0" fontId="0" fillId="0" borderId="2" xfId="0" applyFont="1" applyBorder="1" applyAlignment="1">
      <alignment horizontal="center"/>
    </xf>
    <xf numFmtId="0" fontId="0" fillId="0" borderId="0" xfId="0" applyFont="1" applyBorder="1" applyAlignment="1">
      <alignment horizontal="center"/>
    </xf>
    <xf numFmtId="0" fontId="0" fillId="5" borderId="2" xfId="0" applyFont="1" applyFill="1" applyBorder="1" applyAlignment="1">
      <alignment horizontal="center"/>
    </xf>
    <xf numFmtId="0" fontId="0" fillId="5" borderId="0" xfId="0" applyFont="1" applyFill="1" applyBorder="1" applyAlignment="1">
      <alignment horizontal="center"/>
    </xf>
    <xf numFmtId="0" fontId="0" fillId="0" borderId="2" xfId="0" applyFont="1" applyFill="1" applyBorder="1" applyAlignment="1">
      <alignment horizontal="center"/>
    </xf>
    <xf numFmtId="0" fontId="0" fillId="0" borderId="0" xfId="0" applyFont="1" applyFill="1" applyBorder="1" applyAlignment="1">
      <alignment horizontal="center"/>
    </xf>
    <xf numFmtId="0" fontId="20" fillId="9" borderId="4" xfId="0" applyFont="1" applyFill="1" applyBorder="1" applyAlignment="1">
      <alignment horizontal="center"/>
    </xf>
    <xf numFmtId="0" fontId="0" fillId="8" borderId="5" xfId="0" applyFont="1" applyFill="1" applyBorder="1" applyAlignment="1">
      <alignment horizontal="center" vertical="center" wrapText="1"/>
    </xf>
    <xf numFmtId="0" fontId="0" fillId="0" borderId="4" xfId="0" applyFont="1" applyBorder="1" applyAlignment="1">
      <alignment horizontal="center"/>
    </xf>
    <xf numFmtId="0" fontId="0" fillId="5" borderId="4" xfId="0" applyFont="1" applyFill="1" applyBorder="1" applyAlignment="1">
      <alignment horizontal="center"/>
    </xf>
    <xf numFmtId="0" fontId="0" fillId="0" borderId="4" xfId="0" applyFont="1" applyFill="1" applyBorder="1" applyAlignment="1">
      <alignment horizontal="center"/>
    </xf>
    <xf numFmtId="0" fontId="0" fillId="10" borderId="0" xfId="0" applyFont="1" applyFill="1" applyAlignment="1">
      <alignment horizontal="center"/>
    </xf>
    <xf numFmtId="0" fontId="20" fillId="0" borderId="0" xfId="0" applyFont="1" applyAlignment="1">
      <alignment horizontal="right"/>
    </xf>
    <xf numFmtId="0" fontId="0" fillId="8" borderId="0" xfId="0" applyFont="1" applyFill="1" applyBorder="1" applyAlignment="1">
      <alignment horizontal="center" vertical="center" wrapText="1"/>
    </xf>
    <xf numFmtId="1" fontId="0" fillId="0" borderId="0" xfId="0" applyNumberFormat="1" applyFont="1" applyFill="1" applyBorder="1" applyAlignment="1">
      <alignment horizontal="center"/>
    </xf>
    <xf numFmtId="1" fontId="20" fillId="0" borderId="2" xfId="0" applyNumberFormat="1" applyFont="1" applyBorder="1" applyAlignment="1">
      <alignment horizontal="center"/>
    </xf>
    <xf numFmtId="1" fontId="20" fillId="0" borderId="0" xfId="0" applyNumberFormat="1" applyFont="1" applyBorder="1" applyAlignment="1">
      <alignment horizontal="center"/>
    </xf>
    <xf numFmtId="1" fontId="20" fillId="0" borderId="4" xfId="0" applyNumberFormat="1" applyFont="1" applyBorder="1" applyAlignment="1">
      <alignment horizontal="center"/>
    </xf>
    <xf numFmtId="168" fontId="0" fillId="0" borderId="0" xfId="0" applyNumberFormat="1" applyFont="1" applyAlignment="1">
      <alignment horizontal="center"/>
    </xf>
    <xf numFmtId="0" fontId="0" fillId="0" borderId="7" xfId="0" applyFont="1" applyBorder="1" applyAlignment="1">
      <alignment horizontal="center"/>
    </xf>
    <xf numFmtId="0" fontId="0" fillId="0" borderId="8" xfId="0" applyFont="1" applyBorder="1" applyAlignment="1">
      <alignment horizontal="center"/>
    </xf>
    <xf numFmtId="1" fontId="20" fillId="0" borderId="8" xfId="0" applyNumberFormat="1" applyFont="1" applyBorder="1" applyAlignment="1">
      <alignment horizontal="center"/>
    </xf>
    <xf numFmtId="168" fontId="0" fillId="0" borderId="9" xfId="0" applyNumberFormat="1" applyFont="1" applyBorder="1" applyAlignment="1">
      <alignment horizontal="center"/>
    </xf>
    <xf numFmtId="0" fontId="0" fillId="0" borderId="0" xfId="0" applyFont="1" applyAlignment="1">
      <alignment horizontal="left"/>
    </xf>
    <xf numFmtId="1" fontId="0" fillId="0" borderId="0" xfId="0" applyNumberFormat="1" applyFont="1" applyAlignment="1">
      <alignment horizontal="center"/>
    </xf>
    <xf numFmtId="0" fontId="15" fillId="5" borderId="0" xfId="0" applyFont="1" applyFill="1" applyAlignment="1">
      <alignment horizontal="center"/>
    </xf>
    <xf numFmtId="0" fontId="0" fillId="0" borderId="10" xfId="0" applyFont="1" applyBorder="1" applyAlignment="1">
      <alignment horizontal="center"/>
    </xf>
    <xf numFmtId="1" fontId="0" fillId="0" borderId="11" xfId="0" applyNumberFormat="1" applyFont="1" applyBorder="1" applyAlignment="1">
      <alignment horizontal="center"/>
    </xf>
    <xf numFmtId="1" fontId="0" fillId="0" borderId="0" xfId="0" applyNumberFormat="1" applyFont="1" applyAlignment="1"/>
    <xf numFmtId="0" fontId="23" fillId="9" borderId="0" xfId="2" applyFont="1" applyFill="1" applyAlignment="1">
      <alignment vertical="center" wrapText="1"/>
    </xf>
    <xf numFmtId="0" fontId="23" fillId="9" borderId="0" xfId="2" applyFont="1" applyFill="1" applyAlignment="1">
      <alignment horizontal="center" vertical="center" wrapText="1"/>
    </xf>
    <xf numFmtId="0" fontId="1" fillId="0" borderId="0" xfId="2" applyAlignment="1">
      <alignment vertical="center" wrapText="1"/>
    </xf>
    <xf numFmtId="0" fontId="1" fillId="0" borderId="0" xfId="2" applyAlignment="1">
      <alignment horizontal="center" vertical="center" wrapText="1"/>
    </xf>
    <xf numFmtId="0" fontId="24" fillId="0" borderId="0" xfId="3" applyAlignment="1">
      <alignment vertical="center" wrapText="1"/>
    </xf>
    <xf numFmtId="0" fontId="1" fillId="0" borderId="0" xfId="2" applyAlignment="1">
      <alignment wrapText="1"/>
    </xf>
    <xf numFmtId="0" fontId="16" fillId="0" borderId="0" xfId="2" applyFont="1" applyAlignment="1">
      <alignment horizontal="center" vertical="center" wrapText="1"/>
    </xf>
    <xf numFmtId="0" fontId="1" fillId="0" borderId="0" xfId="2" quotePrefix="1" applyAlignment="1">
      <alignment horizontal="center" vertical="center" wrapText="1"/>
    </xf>
    <xf numFmtId="0" fontId="20" fillId="5" borderId="6" xfId="0" applyFont="1" applyFill="1" applyBorder="1" applyAlignment="1">
      <alignment horizontal="center"/>
    </xf>
  </cellXfs>
  <cellStyles count="4">
    <cellStyle name="Hyperlink" xfId="1" builtinId="8"/>
    <cellStyle name="Hyperlink 2" xfId="3" xr:uid="{ED1D322E-7102-4FD9-8D3E-5F93FD79A302}"/>
    <cellStyle name="Normal" xfId="0" builtinId="0"/>
    <cellStyle name="Normal 2" xfId="2" xr:uid="{1E4BA782-6145-4ACA-A50D-B8F1EEACB922}"/>
  </cellStyles>
  <dxfs count="111">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font>
        <b/>
        <strike val="0"/>
        <outline val="0"/>
        <shadow val="0"/>
        <u val="none"/>
        <vertAlign val="baseline"/>
        <sz val="11"/>
        <color auto="1"/>
        <name val="Arial"/>
        <family val="2"/>
        <scheme val="minor"/>
      </font>
      <fill>
        <patternFill patternType="solid">
          <fgColor indexed="64"/>
          <bgColor theme="0" tint="-0.249977111117893"/>
        </patternFill>
      </fill>
      <alignment vertical="center" textRotation="0" wrapText="1" indent="0" justifyLastLine="0" shrinkToFit="0" readingOrder="0"/>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ont>
        <b val="0"/>
        <i val="0"/>
        <strike val="0"/>
        <condense val="0"/>
        <extend val="0"/>
        <outline val="0"/>
        <shadow val="0"/>
        <u/>
        <vertAlign val="baseline"/>
        <sz val="10"/>
        <color rgb="FF0000FF"/>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fill>
        <patternFill patternType="solid">
          <fgColor indexed="64"/>
          <bgColor theme="7"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minor"/>
      </font>
      <fill>
        <patternFill patternType="solid">
          <fgColor indexed="64"/>
          <bgColor theme="7" tint="0.79998168889431442"/>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fill>
        <patternFill patternType="solid">
          <fgColor indexed="64"/>
          <bgColor theme="7" tint="0.79998168889431442"/>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fill>
        <patternFill patternType="solid">
          <fgColor indexed="64"/>
          <bgColor theme="7" tint="0.79998168889431442"/>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fill>
        <patternFill patternType="solid">
          <fgColor indexed="64"/>
          <bgColor theme="7" tint="0.79998168889431442"/>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minor"/>
      </font>
      <fill>
        <patternFill patternType="solid">
          <fgColor rgb="FFB5CEA8"/>
          <bgColor rgb="FFB5CEA8"/>
        </patternFill>
      </fill>
      <alignment horizontal="center"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font>
        <b/>
        <i val="0"/>
        <strike val="0"/>
        <condense val="0"/>
        <extend val="0"/>
        <outline val="0"/>
        <shadow val="0"/>
        <u val="none"/>
        <vertAlign val="baseline"/>
        <sz val="10"/>
        <color theme="1"/>
        <name val="Arial"/>
        <scheme val="minor"/>
      </font>
      <fill>
        <patternFill patternType="solid">
          <fgColor rgb="FFCCCCCC"/>
          <bgColor rgb="FFCCCCCC"/>
        </patternFill>
      </fill>
      <alignment horizontal="center" vertical="center" textRotation="0" wrapText="1"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Undersampling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Resultados!$F$3</c:f>
              <c:strCache>
                <c:ptCount val="1"/>
                <c:pt idx="0">
                  <c:v>1</c:v>
                </c:pt>
              </c:strCache>
            </c:strRef>
          </c:tx>
          <c:spPr>
            <a:ln w="28575" cap="rnd">
              <a:solidFill>
                <a:schemeClr val="accent1"/>
              </a:solidFill>
              <a:round/>
            </a:ln>
            <a:effectLst/>
          </c:spPr>
          <c:marker>
            <c:symbol val="none"/>
          </c:marker>
          <c:val>
            <c:numRef>
              <c:f>Resultados!$L$3:$V$3</c:f>
              <c:numCache>
                <c:formatCode>General</c:formatCode>
                <c:ptCount val="11"/>
                <c:pt idx="0">
                  <c:v>3714</c:v>
                </c:pt>
                <c:pt idx="1">
                  <c:v>3982</c:v>
                </c:pt>
                <c:pt idx="2">
                  <c:v>3833</c:v>
                </c:pt>
                <c:pt idx="3">
                  <c:v>4091</c:v>
                </c:pt>
                <c:pt idx="4">
                  <c:v>4319</c:v>
                </c:pt>
                <c:pt idx="5">
                  <c:v>4190</c:v>
                </c:pt>
                <c:pt idx="6">
                  <c:v>4031</c:v>
                </c:pt>
                <c:pt idx="7">
                  <c:v>3912</c:v>
                </c:pt>
                <c:pt idx="8">
                  <c:v>4111</c:v>
                </c:pt>
                <c:pt idx="9">
                  <c:v>4379</c:v>
                </c:pt>
                <c:pt idx="10">
                  <c:v>4230</c:v>
                </c:pt>
              </c:numCache>
            </c:numRef>
          </c:val>
          <c:smooth val="0"/>
          <c:extLst>
            <c:ext xmlns:c16="http://schemas.microsoft.com/office/drawing/2014/chart" uri="{C3380CC4-5D6E-409C-BE32-E72D297353CC}">
              <c16:uniqueId val="{00000000-AC95-4CA0-B32B-32EBBA2681AD}"/>
            </c:ext>
          </c:extLst>
        </c:ser>
        <c:ser>
          <c:idx val="1"/>
          <c:order val="1"/>
          <c:tx>
            <c:strRef>
              <c:f>Resultados!$F$4</c:f>
              <c:strCache>
                <c:ptCount val="1"/>
                <c:pt idx="0">
                  <c:v>0.5</c:v>
                </c:pt>
              </c:strCache>
            </c:strRef>
          </c:tx>
          <c:spPr>
            <a:ln w="28575" cap="rnd">
              <a:solidFill>
                <a:schemeClr val="accent2"/>
              </a:solidFill>
              <a:round/>
            </a:ln>
            <a:effectLst/>
          </c:spPr>
          <c:marker>
            <c:symbol val="none"/>
          </c:marker>
          <c:val>
            <c:numRef>
              <c:f>Resultados!$L$4:$V$4</c:f>
              <c:numCache>
                <c:formatCode>General</c:formatCode>
                <c:ptCount val="11"/>
                <c:pt idx="0">
                  <c:v>3644</c:v>
                </c:pt>
                <c:pt idx="1">
                  <c:v>3902</c:v>
                </c:pt>
                <c:pt idx="2">
                  <c:v>4558</c:v>
                </c:pt>
                <c:pt idx="3">
                  <c:v>4409</c:v>
                </c:pt>
                <c:pt idx="4">
                  <c:v>4200</c:v>
                </c:pt>
                <c:pt idx="5">
                  <c:v>4031</c:v>
                </c:pt>
                <c:pt idx="6">
                  <c:v>4240</c:v>
                </c:pt>
                <c:pt idx="7">
                  <c:v>4121</c:v>
                </c:pt>
                <c:pt idx="8">
                  <c:v>3972</c:v>
                </c:pt>
                <c:pt idx="9">
                  <c:v>3833</c:v>
                </c:pt>
                <c:pt idx="10">
                  <c:v>4031</c:v>
                </c:pt>
              </c:numCache>
            </c:numRef>
          </c:val>
          <c:smooth val="0"/>
          <c:extLst>
            <c:ext xmlns:c16="http://schemas.microsoft.com/office/drawing/2014/chart" uri="{C3380CC4-5D6E-409C-BE32-E72D297353CC}">
              <c16:uniqueId val="{00000001-AC95-4CA0-B32B-32EBBA2681AD}"/>
            </c:ext>
          </c:extLst>
        </c:ser>
        <c:ser>
          <c:idx val="2"/>
          <c:order val="2"/>
          <c:tx>
            <c:strRef>
              <c:f>Resultados!$F$5</c:f>
              <c:strCache>
                <c:ptCount val="1"/>
                <c:pt idx="0">
                  <c:v>0.3</c:v>
                </c:pt>
              </c:strCache>
            </c:strRef>
          </c:tx>
          <c:spPr>
            <a:ln w="28575" cap="rnd">
              <a:solidFill>
                <a:schemeClr val="accent3"/>
              </a:solidFill>
              <a:round/>
            </a:ln>
            <a:effectLst/>
          </c:spPr>
          <c:marker>
            <c:symbol val="none"/>
          </c:marker>
          <c:val>
            <c:numRef>
              <c:f>Resultados!$L$5:$V$5</c:f>
              <c:numCache>
                <c:formatCode>General</c:formatCode>
                <c:ptCount val="11"/>
                <c:pt idx="0">
                  <c:v>3316</c:v>
                </c:pt>
                <c:pt idx="1">
                  <c:v>3555</c:v>
                </c:pt>
                <c:pt idx="2">
                  <c:v>3356</c:v>
                </c:pt>
                <c:pt idx="3">
                  <c:v>3584</c:v>
                </c:pt>
                <c:pt idx="4">
                  <c:v>3465</c:v>
                </c:pt>
                <c:pt idx="5">
                  <c:v>3336</c:v>
                </c:pt>
                <c:pt idx="6">
                  <c:v>3922</c:v>
                </c:pt>
                <c:pt idx="7">
                  <c:v>4170</c:v>
                </c:pt>
                <c:pt idx="8">
                  <c:v>4488</c:v>
                </c:pt>
                <c:pt idx="9">
                  <c:v>4379</c:v>
                </c:pt>
                <c:pt idx="10">
                  <c:v>4210</c:v>
                </c:pt>
              </c:numCache>
            </c:numRef>
          </c:val>
          <c:smooth val="0"/>
          <c:extLst>
            <c:ext xmlns:c16="http://schemas.microsoft.com/office/drawing/2014/chart" uri="{C3380CC4-5D6E-409C-BE32-E72D297353CC}">
              <c16:uniqueId val="{00000002-AC95-4CA0-B32B-32EBBA2681AD}"/>
            </c:ext>
          </c:extLst>
        </c:ser>
        <c:ser>
          <c:idx val="3"/>
          <c:order val="3"/>
          <c:tx>
            <c:strRef>
              <c:f>Resultados!$F$6</c:f>
              <c:strCache>
                <c:ptCount val="1"/>
                <c:pt idx="0">
                  <c:v>0.4</c:v>
                </c:pt>
              </c:strCache>
            </c:strRef>
          </c:tx>
          <c:spPr>
            <a:ln w="28575" cap="rnd">
              <a:solidFill>
                <a:schemeClr val="accent4"/>
              </a:solidFill>
              <a:round/>
            </a:ln>
            <a:effectLst/>
          </c:spPr>
          <c:marker>
            <c:symbol val="none"/>
          </c:marker>
          <c:val>
            <c:numRef>
              <c:f>Resultados!$L$6:$V$6</c:f>
              <c:numCache>
                <c:formatCode>General</c:formatCode>
                <c:ptCount val="11"/>
                <c:pt idx="0">
                  <c:v>3932</c:v>
                </c:pt>
                <c:pt idx="1">
                  <c:v>4200</c:v>
                </c:pt>
                <c:pt idx="2">
                  <c:v>4856</c:v>
                </c:pt>
                <c:pt idx="3">
                  <c:v>4707</c:v>
                </c:pt>
                <c:pt idx="4">
                  <c:v>4597</c:v>
                </c:pt>
                <c:pt idx="5">
                  <c:v>4836</c:v>
                </c:pt>
                <c:pt idx="6">
                  <c:v>4677</c:v>
                </c:pt>
                <c:pt idx="7">
                  <c:v>4548</c:v>
                </c:pt>
                <c:pt idx="8">
                  <c:v>4419</c:v>
                </c:pt>
                <c:pt idx="9">
                  <c:v>4707</c:v>
                </c:pt>
                <c:pt idx="10">
                  <c:v>4538</c:v>
                </c:pt>
              </c:numCache>
            </c:numRef>
          </c:val>
          <c:smooth val="0"/>
          <c:extLst>
            <c:ext xmlns:c16="http://schemas.microsoft.com/office/drawing/2014/chart" uri="{C3380CC4-5D6E-409C-BE32-E72D297353CC}">
              <c16:uniqueId val="{00000003-AC95-4CA0-B32B-32EBBA2681AD}"/>
            </c:ext>
          </c:extLst>
        </c:ser>
        <c:dLbls>
          <c:showLegendKey val="0"/>
          <c:showVal val="0"/>
          <c:showCatName val="0"/>
          <c:showSerName val="0"/>
          <c:showPercent val="0"/>
          <c:showBubbleSize val="0"/>
        </c:dLbls>
        <c:smooth val="0"/>
        <c:axId val="2119160112"/>
        <c:axId val="2119161072"/>
      </c:lineChart>
      <c:catAx>
        <c:axId val="211916011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161072"/>
        <c:crosses val="autoZero"/>
        <c:auto val="1"/>
        <c:lblAlgn val="ctr"/>
        <c:lblOffset val="100"/>
        <c:noMultiLvlLbl val="0"/>
      </c:catAx>
      <c:valAx>
        <c:axId val="2119161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160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Resultados!$L$6:$V$6</c:f>
              <c:numCache>
                <c:formatCode>General</c:formatCode>
                <c:ptCount val="11"/>
                <c:pt idx="0">
                  <c:v>3932</c:v>
                </c:pt>
                <c:pt idx="1">
                  <c:v>4200</c:v>
                </c:pt>
                <c:pt idx="2">
                  <c:v>4856</c:v>
                </c:pt>
                <c:pt idx="3">
                  <c:v>4707</c:v>
                </c:pt>
                <c:pt idx="4">
                  <c:v>4597</c:v>
                </c:pt>
                <c:pt idx="5">
                  <c:v>4836</c:v>
                </c:pt>
                <c:pt idx="6">
                  <c:v>4677</c:v>
                </c:pt>
                <c:pt idx="7">
                  <c:v>4548</c:v>
                </c:pt>
                <c:pt idx="8">
                  <c:v>4419</c:v>
                </c:pt>
                <c:pt idx="9">
                  <c:v>4707</c:v>
                </c:pt>
                <c:pt idx="10">
                  <c:v>4538</c:v>
                </c:pt>
              </c:numCache>
            </c:numRef>
          </c:val>
          <c:smooth val="0"/>
          <c:extLst>
            <c:ext xmlns:c16="http://schemas.microsoft.com/office/drawing/2014/chart" uri="{C3380CC4-5D6E-409C-BE32-E72D297353CC}">
              <c16:uniqueId val="{00000000-C405-408D-9F99-BE391B2C16F9}"/>
            </c:ext>
          </c:extLst>
        </c:ser>
        <c:ser>
          <c:idx val="1"/>
          <c:order val="1"/>
          <c:spPr>
            <a:ln w="28575" cap="rnd">
              <a:solidFill>
                <a:schemeClr val="accent2"/>
              </a:solidFill>
              <a:round/>
            </a:ln>
            <a:effectLst/>
          </c:spPr>
          <c:marker>
            <c:symbol val="none"/>
          </c:marker>
          <c:val>
            <c:numRef>
              <c:f>Resultados!$L$7:$V$7</c:f>
              <c:numCache>
                <c:formatCode>General</c:formatCode>
                <c:ptCount val="11"/>
                <c:pt idx="0">
                  <c:v>3743</c:v>
                </c:pt>
                <c:pt idx="1">
                  <c:v>3992</c:v>
                </c:pt>
                <c:pt idx="2">
                  <c:v>4260</c:v>
                </c:pt>
                <c:pt idx="3">
                  <c:v>4538</c:v>
                </c:pt>
                <c:pt idx="4">
                  <c:v>4379</c:v>
                </c:pt>
                <c:pt idx="5">
                  <c:v>4250</c:v>
                </c:pt>
                <c:pt idx="6">
                  <c:v>4101</c:v>
                </c:pt>
                <c:pt idx="7">
                  <c:v>4389</c:v>
                </c:pt>
                <c:pt idx="8">
                  <c:v>4260</c:v>
                </c:pt>
                <c:pt idx="9">
                  <c:v>4468</c:v>
                </c:pt>
                <c:pt idx="10">
                  <c:v>4697</c:v>
                </c:pt>
              </c:numCache>
            </c:numRef>
          </c:val>
          <c:smooth val="0"/>
          <c:extLst>
            <c:ext xmlns:c16="http://schemas.microsoft.com/office/drawing/2014/chart" uri="{C3380CC4-5D6E-409C-BE32-E72D297353CC}">
              <c16:uniqueId val="{00000001-C405-408D-9F99-BE391B2C16F9}"/>
            </c:ext>
          </c:extLst>
        </c:ser>
        <c:ser>
          <c:idx val="2"/>
          <c:order val="2"/>
          <c:spPr>
            <a:ln w="28575" cap="rnd">
              <a:solidFill>
                <a:schemeClr val="accent3"/>
              </a:solidFill>
              <a:round/>
            </a:ln>
            <a:effectLst/>
          </c:spPr>
          <c:marker>
            <c:symbol val="none"/>
          </c:marker>
          <c:val>
            <c:numRef>
              <c:f>Resultados!$L$8:$V$8</c:f>
              <c:numCache>
                <c:formatCode>General</c:formatCode>
                <c:ptCount val="11"/>
                <c:pt idx="0">
                  <c:v>4190</c:v>
                </c:pt>
                <c:pt idx="1">
                  <c:v>4021</c:v>
                </c:pt>
                <c:pt idx="2">
                  <c:v>4250</c:v>
                </c:pt>
                <c:pt idx="3">
                  <c:v>4081</c:v>
                </c:pt>
                <c:pt idx="4">
                  <c:v>4290</c:v>
                </c:pt>
                <c:pt idx="5">
                  <c:v>4150</c:v>
                </c:pt>
                <c:pt idx="6">
                  <c:v>4021</c:v>
                </c:pt>
                <c:pt idx="7">
                  <c:v>4270</c:v>
                </c:pt>
                <c:pt idx="8">
                  <c:v>4111</c:v>
                </c:pt>
                <c:pt idx="9">
                  <c:v>4002</c:v>
                </c:pt>
                <c:pt idx="10">
                  <c:v>4290</c:v>
                </c:pt>
              </c:numCache>
            </c:numRef>
          </c:val>
          <c:smooth val="0"/>
          <c:extLst>
            <c:ext xmlns:c16="http://schemas.microsoft.com/office/drawing/2014/chart" uri="{C3380CC4-5D6E-409C-BE32-E72D297353CC}">
              <c16:uniqueId val="{00000004-C405-408D-9F99-BE391B2C16F9}"/>
            </c:ext>
          </c:extLst>
        </c:ser>
        <c:ser>
          <c:idx val="3"/>
          <c:order val="3"/>
          <c:spPr>
            <a:ln w="28575" cap="rnd">
              <a:solidFill>
                <a:schemeClr val="accent4"/>
              </a:solidFill>
              <a:round/>
            </a:ln>
            <a:effectLst/>
          </c:spPr>
          <c:marker>
            <c:symbol val="none"/>
          </c:marker>
          <c:val>
            <c:numRef>
              <c:f>Resultados!$L$9:$V$9</c:f>
              <c:numCache>
                <c:formatCode>General</c:formatCode>
                <c:ptCount val="11"/>
                <c:pt idx="0">
                  <c:v>2929</c:v>
                </c:pt>
                <c:pt idx="1">
                  <c:v>2790</c:v>
                </c:pt>
                <c:pt idx="2">
                  <c:v>2631</c:v>
                </c:pt>
                <c:pt idx="3">
                  <c:v>2482</c:v>
                </c:pt>
                <c:pt idx="4">
                  <c:v>2730</c:v>
                </c:pt>
                <c:pt idx="5">
                  <c:v>2532</c:v>
                </c:pt>
                <c:pt idx="6">
                  <c:v>2452</c:v>
                </c:pt>
                <c:pt idx="7">
                  <c:v>2284</c:v>
                </c:pt>
                <c:pt idx="8">
                  <c:v>2154</c:v>
                </c:pt>
                <c:pt idx="9">
                  <c:v>2015</c:v>
                </c:pt>
                <c:pt idx="10">
                  <c:v>1837</c:v>
                </c:pt>
              </c:numCache>
            </c:numRef>
          </c:val>
          <c:smooth val="0"/>
          <c:extLst>
            <c:ext xmlns:c16="http://schemas.microsoft.com/office/drawing/2014/chart" uri="{C3380CC4-5D6E-409C-BE32-E72D297353CC}">
              <c16:uniqueId val="{00000005-C405-408D-9F99-BE391B2C16F9}"/>
            </c:ext>
          </c:extLst>
        </c:ser>
        <c:dLbls>
          <c:showLegendKey val="0"/>
          <c:showVal val="0"/>
          <c:showCatName val="0"/>
          <c:showSerName val="0"/>
          <c:showPercent val="0"/>
          <c:showBubbleSize val="0"/>
        </c:dLbls>
        <c:smooth val="0"/>
        <c:axId val="1981436448"/>
        <c:axId val="1981435968"/>
      </c:lineChart>
      <c:catAx>
        <c:axId val="19814364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435968"/>
        <c:crosses val="autoZero"/>
        <c:auto val="1"/>
        <c:lblAlgn val="ctr"/>
        <c:lblOffset val="100"/>
        <c:noMultiLvlLbl val="0"/>
      </c:catAx>
      <c:valAx>
        <c:axId val="198143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436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Ganancias y Desvios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Ganancia media por Envio</c:v>
          </c:tx>
          <c:spPr>
            <a:ln w="28575" cap="rnd">
              <a:solidFill>
                <a:schemeClr val="accent1"/>
              </a:solidFill>
              <a:round/>
            </a:ln>
            <a:effectLst/>
          </c:spPr>
          <c:marker>
            <c:symbol val="circle"/>
            <c:size val="5"/>
            <c:spPr>
              <a:solidFill>
                <a:schemeClr val="accent1"/>
              </a:solidFill>
              <a:ln w="12700">
                <a:solidFill>
                  <a:schemeClr val="accent1"/>
                </a:solidFill>
              </a:ln>
              <a:effectLst/>
            </c:spPr>
          </c:marker>
          <c:cat>
            <c:numRef>
              <c:f>Resultados!$L$2:$V$2</c:f>
              <c:numCache>
                <c:formatCode>General</c:formatCode>
                <c:ptCount val="11"/>
                <c:pt idx="0">
                  <c:v>800</c:v>
                </c:pt>
                <c:pt idx="1">
                  <c:v>850</c:v>
                </c:pt>
                <c:pt idx="2">
                  <c:v>900</c:v>
                </c:pt>
                <c:pt idx="3">
                  <c:v>950</c:v>
                </c:pt>
                <c:pt idx="4">
                  <c:v>1000</c:v>
                </c:pt>
                <c:pt idx="5">
                  <c:v>1050</c:v>
                </c:pt>
                <c:pt idx="6">
                  <c:v>1100</c:v>
                </c:pt>
                <c:pt idx="7">
                  <c:v>1150</c:v>
                </c:pt>
                <c:pt idx="8">
                  <c:v>1200</c:v>
                </c:pt>
                <c:pt idx="9">
                  <c:v>1250</c:v>
                </c:pt>
                <c:pt idx="10">
                  <c:v>1300</c:v>
                </c:pt>
              </c:numCache>
            </c:numRef>
          </c:cat>
          <c:val>
            <c:numRef>
              <c:f>Resultados!$L$21:$V$21</c:f>
              <c:numCache>
                <c:formatCode>0</c:formatCode>
                <c:ptCount val="11"/>
                <c:pt idx="0">
                  <c:v>3750.5714285714284</c:v>
                </c:pt>
                <c:pt idx="1">
                  <c:v>3787.4285714285716</c:v>
                </c:pt>
                <c:pt idx="2">
                  <c:v>3913.7142857142858</c:v>
                </c:pt>
                <c:pt idx="3">
                  <c:v>3891</c:v>
                </c:pt>
                <c:pt idx="4">
                  <c:v>3861.1428571428573</c:v>
                </c:pt>
                <c:pt idx="5">
                  <c:v>4059.7142857142858</c:v>
                </c:pt>
                <c:pt idx="6">
                  <c:v>4211.5714285714284</c:v>
                </c:pt>
                <c:pt idx="7">
                  <c:v>4181.7142857142853</c:v>
                </c:pt>
                <c:pt idx="8">
                  <c:v>4149.1428571428569</c:v>
                </c:pt>
                <c:pt idx="9">
                  <c:v>4227.5714285714284</c:v>
                </c:pt>
                <c:pt idx="10">
                  <c:v>4082.2857142857142</c:v>
                </c:pt>
              </c:numCache>
            </c:numRef>
          </c:val>
          <c:smooth val="0"/>
          <c:extLst>
            <c:ext xmlns:c16="http://schemas.microsoft.com/office/drawing/2014/chart" uri="{C3380CC4-5D6E-409C-BE32-E72D297353CC}">
              <c16:uniqueId val="{00000000-7844-42F9-ACA0-590A85D50874}"/>
            </c:ext>
          </c:extLst>
        </c:ser>
        <c:dLbls>
          <c:showLegendKey val="0"/>
          <c:showVal val="0"/>
          <c:showCatName val="0"/>
          <c:showSerName val="0"/>
          <c:showPercent val="0"/>
          <c:showBubbleSize val="0"/>
        </c:dLbls>
        <c:marker val="1"/>
        <c:smooth val="0"/>
        <c:axId val="2120391648"/>
        <c:axId val="2120391168"/>
      </c:lineChart>
      <c:lineChart>
        <c:grouping val="standard"/>
        <c:varyColors val="0"/>
        <c:ser>
          <c:idx val="1"/>
          <c:order val="1"/>
          <c:tx>
            <c:v>Desvío Estándar por Envío</c:v>
          </c:tx>
          <c:spPr>
            <a:ln w="28575" cap="rnd">
              <a:solidFill>
                <a:schemeClr val="accent2"/>
              </a:solidFill>
              <a:round/>
            </a:ln>
            <a:effectLst/>
          </c:spPr>
          <c:marker>
            <c:symbol val="circle"/>
            <c:size val="5"/>
            <c:spPr>
              <a:solidFill>
                <a:schemeClr val="accent2"/>
              </a:solidFill>
              <a:ln w="12700">
                <a:solidFill>
                  <a:schemeClr val="accent2"/>
                </a:solidFill>
              </a:ln>
              <a:effectLst/>
            </c:spPr>
          </c:marker>
          <c:val>
            <c:numRef>
              <c:f>Resultados!$L$22:$V$22</c:f>
              <c:numCache>
                <c:formatCode>0</c:formatCode>
                <c:ptCount val="11"/>
                <c:pt idx="0">
                  <c:v>654.19589319000295</c:v>
                </c:pt>
                <c:pt idx="1">
                  <c:v>467.9849356549845</c:v>
                </c:pt>
                <c:pt idx="2">
                  <c:v>401.48507651800293</c:v>
                </c:pt>
                <c:pt idx="3">
                  <c:v>462.45461038534978</c:v>
                </c:pt>
                <c:pt idx="4">
                  <c:v>517.61517236907355</c:v>
                </c:pt>
                <c:pt idx="5">
                  <c:v>512.16745308541419</c:v>
                </c:pt>
                <c:pt idx="6">
                  <c:v>524.28481445361899</c:v>
                </c:pt>
                <c:pt idx="7">
                  <c:v>412.54078586244049</c:v>
                </c:pt>
                <c:pt idx="8">
                  <c:v>577.25649989122314</c:v>
                </c:pt>
                <c:pt idx="9">
                  <c:v>484.97164865587763</c:v>
                </c:pt>
                <c:pt idx="10">
                  <c:v>497.86802133363182</c:v>
                </c:pt>
              </c:numCache>
            </c:numRef>
          </c:val>
          <c:smooth val="0"/>
          <c:extLst>
            <c:ext xmlns:c16="http://schemas.microsoft.com/office/drawing/2014/chart" uri="{C3380CC4-5D6E-409C-BE32-E72D297353CC}">
              <c16:uniqueId val="{00000001-7844-42F9-ACA0-590A85D50874}"/>
            </c:ext>
          </c:extLst>
        </c:ser>
        <c:dLbls>
          <c:showLegendKey val="0"/>
          <c:showVal val="0"/>
          <c:showCatName val="0"/>
          <c:showSerName val="0"/>
          <c:showPercent val="0"/>
          <c:showBubbleSize val="0"/>
        </c:dLbls>
        <c:marker val="1"/>
        <c:smooth val="0"/>
        <c:axId val="61590912"/>
        <c:axId val="61591872"/>
      </c:lineChart>
      <c:catAx>
        <c:axId val="212039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391168"/>
        <c:crosses val="autoZero"/>
        <c:auto val="1"/>
        <c:lblAlgn val="ctr"/>
        <c:lblOffset val="100"/>
        <c:noMultiLvlLbl val="0"/>
      </c:catAx>
      <c:valAx>
        <c:axId val="21203911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391648"/>
        <c:crosses val="autoZero"/>
        <c:crossBetween val="between"/>
      </c:valAx>
      <c:valAx>
        <c:axId val="61591872"/>
        <c:scaling>
          <c:orientation val="minMax"/>
          <c:max val="10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90912"/>
        <c:crosses val="max"/>
        <c:crossBetween val="between"/>
      </c:valAx>
      <c:catAx>
        <c:axId val="61590912"/>
        <c:scaling>
          <c:orientation val="minMax"/>
        </c:scaling>
        <c:delete val="1"/>
        <c:axPos val="b"/>
        <c:majorTickMark val="out"/>
        <c:minorTickMark val="none"/>
        <c:tickLblPos val="nextTo"/>
        <c:crossAx val="61591872"/>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27</xdr:col>
      <xdr:colOff>467437</xdr:colOff>
      <xdr:row>0</xdr:row>
      <xdr:rowOff>0</xdr:rowOff>
    </xdr:from>
    <xdr:to>
      <xdr:col>35</xdr:col>
      <xdr:colOff>166100</xdr:colOff>
      <xdr:row>16</xdr:row>
      <xdr:rowOff>38100</xdr:rowOff>
    </xdr:to>
    <xdr:graphicFrame macro="">
      <xdr:nvGraphicFramePr>
        <xdr:cNvPr id="2" name="Chart 1">
          <a:extLst>
            <a:ext uri="{FF2B5EF4-FFF2-40B4-BE49-F238E27FC236}">
              <a16:creationId xmlns:a16="http://schemas.microsoft.com/office/drawing/2014/main" id="{7F3D2F86-CA3E-B661-0D0B-2A9D11F348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510732</xdr:colOff>
      <xdr:row>16</xdr:row>
      <xdr:rowOff>83482</xdr:rowOff>
    </xdr:from>
    <xdr:to>
      <xdr:col>35</xdr:col>
      <xdr:colOff>215745</xdr:colOff>
      <xdr:row>34</xdr:row>
      <xdr:rowOff>121581</xdr:rowOff>
    </xdr:to>
    <xdr:graphicFrame macro="">
      <xdr:nvGraphicFramePr>
        <xdr:cNvPr id="3" name="Chart 2">
          <a:extLst>
            <a:ext uri="{FF2B5EF4-FFF2-40B4-BE49-F238E27FC236}">
              <a16:creationId xmlns:a16="http://schemas.microsoft.com/office/drawing/2014/main" id="{81649478-487C-2C27-15E0-24D56A87E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644648</xdr:colOff>
      <xdr:row>24</xdr:row>
      <xdr:rowOff>70338</xdr:rowOff>
    </xdr:from>
    <xdr:to>
      <xdr:col>18</xdr:col>
      <xdr:colOff>257298</xdr:colOff>
      <xdr:row>41</xdr:row>
      <xdr:rowOff>114788</xdr:rowOff>
    </xdr:to>
    <xdr:graphicFrame macro="">
      <xdr:nvGraphicFramePr>
        <xdr:cNvPr id="5" name="Chart 4">
          <a:extLst>
            <a:ext uri="{FF2B5EF4-FFF2-40B4-BE49-F238E27FC236}">
              <a16:creationId xmlns:a16="http://schemas.microsoft.com/office/drawing/2014/main" id="{C739D38F-F5E6-1460-7381-CDC85D286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602960</xdr:colOff>
      <xdr:row>44</xdr:row>
      <xdr:rowOff>50293</xdr:rowOff>
    </xdr:from>
    <xdr:to>
      <xdr:col>27</xdr:col>
      <xdr:colOff>583378</xdr:colOff>
      <xdr:row>79</xdr:row>
      <xdr:rowOff>124740</xdr:rowOff>
    </xdr:to>
    <xdr:pic>
      <xdr:nvPicPr>
        <xdr:cNvPr id="6" name="Picture 5">
          <a:extLst>
            <a:ext uri="{FF2B5EF4-FFF2-40B4-BE49-F238E27FC236}">
              <a16:creationId xmlns:a16="http://schemas.microsoft.com/office/drawing/2014/main" id="{BB1E6176-26CF-D75D-EC1D-9F1757EFBC21}"/>
            </a:ext>
          </a:extLst>
        </xdr:cNvPr>
        <xdr:cNvPicPr>
          <a:picLocks noChangeAspect="1"/>
        </xdr:cNvPicPr>
      </xdr:nvPicPr>
      <xdr:blipFill>
        <a:blip xmlns:r="http://schemas.openxmlformats.org/officeDocument/2006/relationships" r:embed="rId4"/>
        <a:stretch>
          <a:fillRect/>
        </a:stretch>
      </xdr:blipFill>
      <xdr:spPr>
        <a:xfrm>
          <a:off x="3356551" y="7479793"/>
          <a:ext cx="10760986" cy="58327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158750</xdr:colOff>
      <xdr:row>1</xdr:row>
      <xdr:rowOff>152060</xdr:rowOff>
    </xdr:from>
    <xdr:to>
      <xdr:col>9</xdr:col>
      <xdr:colOff>546100</xdr:colOff>
      <xdr:row>19</xdr:row>
      <xdr:rowOff>6537</xdr:rowOff>
    </xdr:to>
    <xdr:pic>
      <xdr:nvPicPr>
        <xdr:cNvPr id="2" name="Picture 1">
          <a:extLst>
            <a:ext uri="{FF2B5EF4-FFF2-40B4-BE49-F238E27FC236}">
              <a16:creationId xmlns:a16="http://schemas.microsoft.com/office/drawing/2014/main" id="{31B158F1-B6C6-18B0-1300-FF896D616B1D}"/>
            </a:ext>
          </a:extLst>
        </xdr:cNvPr>
        <xdr:cNvPicPr>
          <a:picLocks noChangeAspect="1"/>
        </xdr:cNvPicPr>
      </xdr:nvPicPr>
      <xdr:blipFill>
        <a:blip xmlns:r="http://schemas.openxmlformats.org/officeDocument/2006/relationships" r:embed="rId1"/>
        <a:stretch>
          <a:fillRect/>
        </a:stretch>
      </xdr:blipFill>
      <xdr:spPr>
        <a:xfrm>
          <a:off x="768350" y="310810"/>
          <a:ext cx="5264150" cy="271197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EYRA HUERTAS Lucia TENARIS" refreshedDate="45991.94833298611" createdVersion="8" refreshedVersion="8" minRefreshableVersion="3" recordCount="22" xr:uid="{002F581C-70C8-48BE-A470-D9ED2D2A9277}">
  <cacheSource type="worksheet">
    <worksheetSource name="Table1"/>
  </cacheSource>
  <cacheFields count="12">
    <cacheField name="Problema N°" numFmtId="0">
      <sharedItems containsSemiMixedTypes="0" containsString="0" containsNumber="1" containsInteger="1" minValue="1" maxValue="18" count="18">
        <n v="1"/>
        <n v="2"/>
        <n v="3"/>
        <n v="4"/>
        <n v="5"/>
        <n v="6"/>
        <n v="7"/>
        <n v="8"/>
        <n v="9"/>
        <n v="10"/>
        <n v="11"/>
        <n v="12"/>
        <n v="13"/>
        <n v="14"/>
        <n v="15"/>
        <n v="16"/>
        <n v="17"/>
        <n v="18"/>
      </sharedItems>
    </cacheField>
    <cacheField name="Hipotesis utilizada" numFmtId="0">
      <sharedItems count="5">
        <s v="A"/>
        <s v="B"/>
        <s v="A Y B"/>
        <s v="A (no hay B)"/>
        <s v="A y B ( concluyen lo mismo)" u="1"/>
      </sharedItems>
    </cacheField>
    <cacheField name="Categoria" numFmtId="0">
      <sharedItems count="7">
        <s v="Catastrophe Analysis"/>
        <s v="Data Drifting"/>
        <s v="Feature Engineering"/>
        <s v="Training Strategy"/>
        <s v="Hyperparameter Tuning"/>
        <s v="Undersampling"/>
        <s v="New"/>
      </sharedItems>
    </cacheField>
    <cacheField name="Nombre Experimento" numFmtId="0">
      <sharedItems count="19">
        <s v="“Encontrar el mejor método para corregir las variables rotas que fueron asignadas a cero”"/>
        <s v="Variables Monetarias"/>
        <s v="Variables manuales de Feature Engineering”"/>
        <s v="“Variables derivadas del Random Forest”"/>
        <s v="Feature Engineering Histórico"/>
        <s v="Canaritos Asesinos"/>
        <s v="Utilización de los meses de pandemia"/>
        <s v="Agregar más datos históricos mejora la estrategia del entrenamiento?"/>
        <s v="“¿Es funcional una Optimización Bayesiana que intente optimizar 16 hiperparámetros al mismo tiempo?”"/>
        <s v="Tratando el desbalanceo en LightGBM"/>
        <s v="“Estabilidad del modelo predictivo frente al Undersampling”"/>
        <s v="Comparación de métricas para guiar la Optimización Bayesiana en LightGBM"/>
        <s v="Reducir la dimensionalidad mejora el modelo predictivo?"/>
        <s v="Un experimento sobre GBDT, Random Forest, Dat y el immpacto de la aleatoriedad"/>
        <s v="Estabilidad de los modelos en el tiempo"/>
        <s v="Campos clave en datos de entrenamiento. Mantenerlos o hacerlos nulos?"/>
        <s v="¿Eliminar meses malos mejora la ganancia?"/>
        <s v="BO robusta vs BO simple"/>
        <s v="“Comparación DE LA OPTIMIZACIÓN BAYESIANA (BO) robusta con 5 semillas vs NO ROBUSTA con 1 semilla​:_x000a_Análisis de ganancia y tiempo de corrida”" u="1"/>
      </sharedItems>
    </cacheField>
    <cacheField name="Probado por" numFmtId="0">
      <sharedItems/>
    </cacheField>
    <cacheField name="Observaciones" numFmtId="0">
      <sharedItems longText="1"/>
    </cacheField>
    <cacheField name="Lo uso?" numFmtId="0">
      <sharedItems count="3">
        <s v="NO"/>
        <s v="SI"/>
        <s v="?" u="1"/>
      </sharedItems>
    </cacheField>
    <cacheField name="Coincidencia?" numFmtId="0">
      <sharedItems containsBlank="1" count="3">
        <s v="NO"/>
        <s v="SI"/>
        <m/>
      </sharedItems>
    </cacheField>
    <cacheField name="Modifica codigo?" numFmtId="0">
      <sharedItems containsBlank="1" count="4">
        <s v="NO"/>
        <s v="SI"/>
        <m/>
        <s v="VER" u="1"/>
      </sharedItems>
    </cacheField>
    <cacheField name="Modificación" numFmtId="0">
      <sharedItems containsBlank="1" count="16">
        <s v="Machine Learning (NA) // Vago"/>
        <s v="Indice FACPE o BNA"/>
        <s v="Agregar nuevas features"/>
        <m/>
        <s v="Media Movil Exponencial - Hice lags 1 2 3 6"/>
        <s v="Full Performance"/>
        <s v="Dataset original"/>
        <s v="Definir hiperparámetros a optimizar y rangos"/>
        <s v="Probar con 0.5, 0.4 y 0.3"/>
        <s v="AUC"/>
        <s v="GBDT"/>
        <s v="Eliminar campos numero de cliente y foto mes"/>
        <s v="BO con 1 sola semilla"/>
        <s v="Media Movil Exponencial" u="1"/>
        <s v="Machine Learning (NA)" u="1"/>
        <s v="Vago" u="1"/>
      </sharedItems>
    </cacheField>
    <cacheField name="Status" numFmtId="0">
      <sharedItems count="4">
        <s v="DONE"/>
        <s v="NA"/>
        <s v="PEND" u="1"/>
        <s v="ONGOING" u="1"/>
      </sharedItems>
    </cacheField>
    <cacheField name="Link Rep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x v="0"/>
    <x v="0"/>
    <s v="Patricia Sandagorda"/>
    <s v="- Estadistica Clasica es el que mas overfitting da, pero mayor ganancia mediana mas alta_x000a_- Segundo de gnanacia mediana  es el de Machine Learning con menos variabilidad._x000a_- Metodo Vago menor tiempo de ejecucion y mediana mas baja_x000a_-Recomendacion: Usar el de ML"/>
    <x v="0"/>
    <x v="0"/>
    <x v="0"/>
    <x v="0"/>
    <x v="0"/>
    <s v="https://github.com/patriciasandagorda/labo2025v/tree/main/src/workflows/experimento_x000a_Para replicar el método recomendado ML no se debe modificar nada del workflow (ML viene por default)"/>
  </r>
  <r>
    <x v="0"/>
    <x v="1"/>
    <x v="0"/>
    <x v="0"/>
    <s v="Sofi + Nico Caggiano"/>
    <s v="Método del vago (no hacer nada) da mayores ganancias pero mas dispersión (overfitting)_x000a_Más rápidos: Vago y ML. Recomendacion: Método del Vago"/>
    <x v="1"/>
    <x v="0"/>
    <x v="0"/>
    <x v="0"/>
    <x v="0"/>
    <s v="https://github.com/scremydas/labo2025v/tree/main/src/workflows/Experimento"/>
  </r>
  <r>
    <x v="1"/>
    <x v="0"/>
    <x v="1"/>
    <x v="1"/>
    <s v="Santiago Turguret - Analia Jaime"/>
    <s v="Recomendacion: Usar ajuste por indice de la FAPCE. Pero las curvas tienen tendencia general similar (vs dolar oficial BNA)"/>
    <x v="1"/>
    <x v="1"/>
    <x v="1"/>
    <x v="1"/>
    <x v="0"/>
    <s v="https://github.com/analiajaime/ExperimentosDataDrifting"/>
  </r>
  <r>
    <x v="2"/>
    <x v="0"/>
    <x v="2"/>
    <x v="2"/>
    <s v="Fernando Paganini y Baltazar Villanueva"/>
    <s v="La adición de nuevas features mejoran el rendimiento del modelo, especialmente si se utilizan variables del dataset original y si tienen mayor importancia según el gain."/>
    <x v="1"/>
    <x v="0"/>
    <x v="1"/>
    <x v="2"/>
    <x v="0"/>
    <s v="https://github.com/fernandopaganiniaustral/labo2025v/tree/main/experimento_colaborativo_03_grupoA"/>
  </r>
  <r>
    <x v="2"/>
    <x v="1"/>
    <x v="2"/>
    <x v="2"/>
    <s v="Keiver Nuñez"/>
    <s v="Se recomienda emplear el FE manual sólo si se cuenta con el tiempo suficiente para plantear un conjunto de variables numeroso y con sentido financiero, de lo contrario se recomienda optar por otras alternativas más automáticas."/>
    <x v="0"/>
    <x v="0"/>
    <x v="0"/>
    <x v="3"/>
    <x v="1"/>
    <s v="https://github.com/keiverdatascience/labo2025v/tree/main/src/experimento_03"/>
  </r>
  <r>
    <x v="3"/>
    <x v="2"/>
    <x v="2"/>
    <x v="3"/>
    <s v="Mark Hayden Joyce - Carola de la Colina - Paula Calviello"/>
    <s v="No se entiende. No aplicar. PARAM$hiperparametertuning$num_iterations &lt;-20"/>
    <x v="0"/>
    <x v="2"/>
    <x v="2"/>
    <x v="3"/>
    <x v="1"/>
    <s v="https://github.com/Pau-Cal/Experimento-Lab-I-2025"/>
  </r>
  <r>
    <x v="4"/>
    <x v="0"/>
    <x v="2"/>
    <x v="4"/>
    <s v="Tomas Rodriguez Zurro, Ornela Corsetti"/>
    <s v="Incluir las variables generadas por el RF en el Feature Engineering Histórico_x000a_Utilizar el método de ratios sobre las Exponential Moving Average de las variables"/>
    <x v="1"/>
    <x v="2"/>
    <x v="1"/>
    <x v="4"/>
    <x v="0"/>
    <s v="Enlace al código correspondiente (sección 9.3.1.5 FEhist):  https://github.com/orcorsetti/labo2025v/blob/main/src/workflows/910_WorkFlow_01_junior_exp03_100193.ipynb"/>
  </r>
  <r>
    <x v="4"/>
    <x v="1"/>
    <x v="2"/>
    <x v="4"/>
    <s v="Nicolás Horn, Aime Giorlando"/>
    <s v="-La mayor ganancia fue con el feature engeneering completo “WF616”_x000a_-Recomendacion: Si buscas relacion ganancia y tiempo usar Fast track “WF618”. Si buscas maximizar la ganancia lo mas posible usar Full Performance “WF616”"/>
    <x v="0"/>
    <x v="2"/>
    <x v="1"/>
    <x v="5"/>
    <x v="1"/>
    <s v="https://github.com/nicohorn/labo2025v "/>
  </r>
  <r>
    <x v="5"/>
    <x v="2"/>
    <x v="2"/>
    <x v="5"/>
    <s v="-"/>
    <s v="Requiere lato computer literacy. Nadie lo hizo"/>
    <x v="0"/>
    <x v="2"/>
    <x v="2"/>
    <x v="3"/>
    <x v="1"/>
    <m/>
  </r>
  <r>
    <x v="6"/>
    <x v="2"/>
    <x v="3"/>
    <x v="6"/>
    <s v="Maximiliano Vergara (jr) , Juan Ton (jr). Cacabelos Martin"/>
    <s v="Grupo A:Más datos es mejor, no hay que sacar ningún mes de pandemia. _x000a_Grupo B: Sacar solo los meses con churn extremo"/>
    <x v="1"/>
    <x v="1"/>
    <x v="0"/>
    <x v="6"/>
    <x v="0"/>
    <s v="Grupo B: https://github.com/martin-cacabelos/labo2025v/blob/eea6984bc516bd571f120d325c31fd11e6cfa9d8/src/workflows/610_WorkFlow_01_gerencial_julio.ipynb"/>
  </r>
  <r>
    <x v="7"/>
    <x v="0"/>
    <x v="3"/>
    <x v="7"/>
    <s v="Aular Carlos (Sr), Pedrozo Juan Martin (Sr) Grupo B: Franco Regeiro"/>
    <s v="competencia Senior. Mayor cantidad de meses históricos mayor es la ganancia, pero también mayor tiempo de entrenamiento. Recomendacion: Estrategia de pesos por año (ver script)"/>
    <x v="0"/>
    <x v="2"/>
    <x v="2"/>
    <x v="3"/>
    <x v="1"/>
    <s v="https://github.com/carlos-aular-ds/labo2025v/blob/pesos1-temp-08vcpu-128ram-20251115-141911/src/workflows/ex4-950_WorkFlow_01_senior.ipynb"/>
  </r>
  <r>
    <x v="8"/>
    <x v="1"/>
    <x v="4"/>
    <x v="8"/>
    <s v="Jorge Barbona y Leonardo Gastaldo"/>
    <s v="Recominedad optimizar 6 (para mi es mucho) y de los mas comunes NO hay diferencia estadísticamente significativa entre ninguno de los pares de Hiperparametros con un nivel de significancia del 5%._x000a_No encontramos evidencia estadística significativa que mejore el modelo cuando se envía a optimizar una mayor cantidad de hiperparámetros._x000a_"/>
    <x v="1"/>
    <x v="1"/>
    <x v="1"/>
    <x v="7"/>
    <x v="0"/>
    <s v=" jorge1 : https://github.com/jwbarbona/labo2025v/tree/main/Prob_09 _x000a_Jorge2: https://github.com/epare2496-commits/labo2025v/tree/main/Prob_09_x000a_Leonardo: https://github.com/LeonardoGastaldo/labo2025v/tree/main/src/workflows"/>
  </r>
  <r>
    <x v="9"/>
    <x v="0"/>
    <x v="4"/>
    <x v="9"/>
    <s v="Francisco Chiavassa"/>
    <s v="Compara is unbalance = TRUE // scale_pos_weight // pos_bagging_fraction &amp; neg_bagging_fraction. El balanceo de clases no garantiza mayor ganancia_x000a_Modelos sin balanceo competitivos en algunos casos"/>
    <x v="0"/>
    <x v="2"/>
    <x v="2"/>
    <x v="3"/>
    <x v="1"/>
    <m/>
  </r>
  <r>
    <x v="9"/>
    <x v="1"/>
    <x v="4"/>
    <x v="9"/>
    <s v="Juan Manuel Molina"/>
    <s v="Ganancia sin mejora_x000a_Tiempo de corrida similares_x000a_modelo que considera pos_bagging_fraction, neg_bagging_fraction y bagging_fraction = 1 presentan dispersión menor"/>
    <x v="0"/>
    <x v="2"/>
    <x v="2"/>
    <x v="3"/>
    <x v="1"/>
    <s v="Sin Git en la presentación "/>
  </r>
  <r>
    <x v="10"/>
    <x v="0"/>
    <x v="5"/>
    <x v="10"/>
    <s v="Gabi y Jaime - Diego"/>
    <s v="Modificar el undersampling entre los valores:  0.5 - 0.4 - 0.3 ."/>
    <x v="1"/>
    <x v="1"/>
    <x v="1"/>
    <x v="8"/>
    <x v="0"/>
    <s v="PARAM$trainingstrategy$training_pct &lt;- 0.5"/>
  </r>
  <r>
    <x v="11"/>
    <x v="0"/>
    <x v="4"/>
    <x v="11"/>
    <s v="Cintia Sosa y Carmen Tello. Julia Maxwell, Matias Farias"/>
    <s v="Nuestra recomendación es utilizar la métrica AUC para la Optimización Bayesiana._x000a_Guiar la BO por AUC. Es la métrica que mejor equilibra rendimiento, estabilidad y costo computacional. Ganancia no es recomendable como función objetivo porque es inestable, más lenta y no mejora los resultados."/>
    <x v="1"/>
    <x v="1"/>
    <x v="0"/>
    <x v="9"/>
    <x v="0"/>
    <s v="https://github.com/carmentello/labo2025v/tree/main/src/experimento_metricaOptimizacion_x000a_https://github.com/cchasampi/experimento12_x000a_https://github.com/matifards/labo2025v/blob/main/src/workflows/WorkFlow_junior_julio-Ganancia.ipynb_x000a_"/>
  </r>
  <r>
    <x v="12"/>
    <x v="2"/>
    <x v="2"/>
    <x v="12"/>
    <s v="Clara Lynch . Delfina Pons Guisano. Fernando Yañez"/>
    <s v="se recomienda trabajar con el dataset original y no aplicar ningún método de reducción de dimensionalidad. el uso de PCA no aporta beneficios en términos de ganancias y, por el contrario, introduce degradación en el rendimiento."/>
    <x v="1"/>
    <x v="1"/>
    <x v="0"/>
    <x v="6"/>
    <x v="0"/>
    <s v="https://github.com/claralynch/Labo1_Grupo13"/>
  </r>
  <r>
    <x v="13"/>
    <x v="2"/>
    <x v="4"/>
    <x v="13"/>
    <s v="Paniagua - Dagostino - Carabajal"/>
    <s v="el método de boosting óptimo a utilizar es GBDT porque permite obtener las mayores ganancias con menor costo computacional y tiempo._x000a_El workflow por default se encuentra configurado para utilizar el método de boosting: GBDT._x000a_RECOMENDAMOS NO MODIFICAR NADA DEL CÓDIGO"/>
    <x v="1"/>
    <x v="1"/>
    <x v="0"/>
    <x v="10"/>
    <x v="0"/>
    <s v="https://github.com/mateodagos221292/Austral_Lab_Exp_Boosting_2025.git"/>
  </r>
  <r>
    <x v="14"/>
    <x v="3"/>
    <x v="4"/>
    <x v="14"/>
    <s v="Bohn Nicolas - Durá Benjamin"/>
    <s v="Si los datos son mas antiguos la ganancia tiende a disminuir"/>
    <x v="0"/>
    <x v="2"/>
    <x v="2"/>
    <x v="3"/>
    <x v="1"/>
    <s v="Sin Git en la presentación "/>
  </r>
  <r>
    <x v="15"/>
    <x v="2"/>
    <x v="3"/>
    <x v="15"/>
    <s v="Gastón Viveros // Sol Gabriele Peruilh- Ezequiel Baglieri"/>
    <s v="Se recomienda adoptar la configuración del Experimento 4, excluyendo tanto numero_de_cliente como foto_mes._x000a__x000a_Las variables numero_de_cliente y foto_mes no aportan información útil para la detección de patrones generales, ya que actúan únicamente como identificadores y no como atributos descriptivos del comportamiento"/>
    <x v="1"/>
    <x v="1"/>
    <x v="1"/>
    <x v="11"/>
    <x v="0"/>
    <s v="https://github.com/gastonviveros2411/labo2025v/blob/main/Problema_16_grupo_A.ipynb_x000a__x000a_https://github.com/EzequielBaglieri/labo2025v/tree/main/src/workflows/Experimentos"/>
  </r>
  <r>
    <x v="16"/>
    <x v="2"/>
    <x v="3"/>
    <x v="16"/>
    <s v="emiliano ksiazenicer, lucas kuringhian // Sandra Schicchi, Roxana Albert"/>
    <s v="Dado que la ganancia del modelo final sin “meses malos” es menor a la del baseline, podemos afirmar que no mejora la ganancia eliminarlos del entrenamiento_x000a__x000a_Recomendamos mantener el conjunto de datos completo de 12 meses para mayor robustez."/>
    <x v="1"/>
    <x v="1"/>
    <x v="0"/>
    <x v="6"/>
    <x v="0"/>
    <s v="https://github.com/emiksiazenicer/labo2025v/tree/main/src/Experimento17/corridas/Flow"/>
  </r>
  <r>
    <x v="17"/>
    <x v="0"/>
    <x v="6"/>
    <x v="17"/>
    <s v="Analia y Yo"/>
    <s v="a reocmendacion es usar BO comun, una sola semilla, porq las ganancias dan similares pero es mucho mas tiempo de corrida la de 5 semillas."/>
    <x v="1"/>
    <x v="1"/>
    <x v="0"/>
    <x v="12"/>
    <x v="0"/>
    <s v="https://github.com/luciaphmaestria/labo2025v/tree/main/src/workflows/Experimento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B92F92-1E52-47B7-A778-2F06DF9B76DF}" name="PivotTable1" cacheId="56"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A3:H16" firstHeaderRow="1" firstDataRow="1" firstDataCol="8"/>
  <pivotFields count="12">
    <pivotField name="#" axis="axisRow" compact="0" outline="0" showAll="0" defaultSubtotal="0">
      <items count="18">
        <item x="0"/>
        <item x="1"/>
        <item x="2"/>
        <item x="3"/>
        <item x="4"/>
        <item x="5"/>
        <item x="6"/>
        <item x="7"/>
        <item x="8"/>
        <item x="9"/>
        <item x="10"/>
        <item x="11"/>
        <item x="12"/>
        <item x="13"/>
        <item x="14"/>
        <item x="15"/>
        <item x="16"/>
        <item x="17"/>
      </items>
    </pivotField>
    <pivotField name="Grupo" axis="axisRow" compact="0" outline="0" showAll="0" defaultSubtotal="0">
      <items count="5">
        <item x="0"/>
        <item x="3"/>
        <item x="2"/>
        <item m="1" x="4"/>
        <item x="1"/>
      </items>
    </pivotField>
    <pivotField axis="axisRow" compact="0" outline="0" showAll="0" defaultSubtotal="0">
      <items count="7">
        <item x="0"/>
        <item x="1"/>
        <item x="2"/>
        <item x="4"/>
        <item x="6"/>
        <item x="3"/>
        <item x="5"/>
      </items>
    </pivotField>
    <pivotField axis="axisRow" compact="0" outline="0" showAll="0" defaultSubtotal="0">
      <items count="19">
        <item x="16"/>
        <item x="8"/>
        <item m="1" x="18"/>
        <item x="0"/>
        <item x="10"/>
        <item x="3"/>
        <item x="7"/>
        <item x="15"/>
        <item x="5"/>
        <item x="11"/>
        <item x="14"/>
        <item x="4"/>
        <item x="12"/>
        <item x="9"/>
        <item x="13"/>
        <item x="6"/>
        <item x="2"/>
        <item x="1"/>
        <item x="17"/>
      </items>
    </pivotField>
    <pivotField compact="0" outline="0" showAll="0" defaultSubtotal="0"/>
    <pivotField compact="0" outline="0" showAll="0" defaultSubtotal="0"/>
    <pivotField axis="axisRow" compact="0" outline="0" showAll="0" defaultSubtotal="0">
      <items count="3">
        <item h="1" x="0"/>
        <item x="1"/>
        <item m="1" x="2"/>
      </items>
    </pivotField>
    <pivotField compact="0" outline="0" showAll="0" defaultSubtotal="0">
      <items count="3">
        <item x="0"/>
        <item x="1"/>
        <item x="2"/>
      </items>
    </pivotField>
    <pivotField axis="axisRow" compact="0" outline="0" showAll="0" defaultSubtotal="0">
      <items count="4">
        <item x="0"/>
        <item x="1"/>
        <item m="1" x="3"/>
        <item x="2"/>
      </items>
    </pivotField>
    <pivotField axis="axisRow" compact="0" outline="0" showAll="0" defaultSubtotal="0">
      <items count="16">
        <item x="2"/>
        <item x="9"/>
        <item x="12"/>
        <item x="6"/>
        <item x="7"/>
        <item x="11"/>
        <item x="10"/>
        <item x="1"/>
        <item m="1" x="14"/>
        <item x="8"/>
        <item m="1" x="15"/>
        <item x="3"/>
        <item m="1" x="13"/>
        <item x="5"/>
        <item x="0"/>
        <item x="4"/>
      </items>
    </pivotField>
    <pivotField axis="axisRow" compact="0" outline="0" subtotalTop="0" showAll="0" defaultSubtotal="0">
      <items count="4">
        <item x="0"/>
        <item x="1"/>
        <item m="1" x="3"/>
        <item m="1" x="2"/>
      </items>
    </pivotField>
    <pivotField compact="0" outline="0" showAll="0" defaultSubtotal="0"/>
  </pivotFields>
  <rowFields count="8">
    <field x="6"/>
    <field x="10"/>
    <field x="8"/>
    <field x="0"/>
    <field x="2"/>
    <field x="3"/>
    <field x="1"/>
    <field x="9"/>
  </rowFields>
  <rowItems count="13">
    <i>
      <x v="1"/>
      <x/>
      <x/>
      <x/>
      <x/>
      <x v="3"/>
      <x v="4"/>
      <x v="14"/>
    </i>
    <i r="3">
      <x v="6"/>
      <x v="5"/>
      <x v="15"/>
      <x v="2"/>
      <x v="3"/>
    </i>
    <i r="3">
      <x v="11"/>
      <x v="3"/>
      <x v="9"/>
      <x/>
      <x v="1"/>
    </i>
    <i r="3">
      <x v="12"/>
      <x v="2"/>
      <x v="12"/>
      <x v="2"/>
      <x v="3"/>
    </i>
    <i r="3">
      <x v="13"/>
      <x v="3"/>
      <x v="14"/>
      <x v="2"/>
      <x v="6"/>
    </i>
    <i r="3">
      <x v="16"/>
      <x v="5"/>
      <x/>
      <x v="2"/>
      <x v="3"/>
    </i>
    <i r="3">
      <x v="17"/>
      <x v="4"/>
      <x v="18"/>
      <x/>
      <x v="2"/>
    </i>
    <i r="2">
      <x v="1"/>
      <x v="1"/>
      <x v="1"/>
      <x v="17"/>
      <x/>
      <x v="7"/>
    </i>
    <i r="3">
      <x v="2"/>
      <x v="2"/>
      <x v="16"/>
      <x/>
      <x/>
    </i>
    <i r="3">
      <x v="4"/>
      <x v="2"/>
      <x v="11"/>
      <x/>
      <x v="15"/>
    </i>
    <i r="3">
      <x v="8"/>
      <x v="3"/>
      <x v="1"/>
      <x v="4"/>
      <x v="4"/>
    </i>
    <i r="3">
      <x v="10"/>
      <x v="6"/>
      <x v="4"/>
      <x/>
      <x v="9"/>
    </i>
    <i r="3">
      <x v="15"/>
      <x v="5"/>
      <x v="7"/>
      <x v="2"/>
      <x v="5"/>
    </i>
  </rowItems>
  <colItems count="1">
    <i/>
  </colItems>
  <formats count="79">
    <format dxfId="110">
      <pivotArea field="6" type="button" dataOnly="0" labelOnly="1" outline="0" axis="axisRow" fieldPosition="0"/>
    </format>
    <format dxfId="109">
      <pivotArea field="7" type="button" dataOnly="0" labelOnly="1" outline="0"/>
    </format>
    <format dxfId="108">
      <pivotArea field="8" type="button" dataOnly="0" labelOnly="1" outline="0" axis="axisRow" fieldPosition="2"/>
    </format>
    <format dxfId="107">
      <pivotArea field="0" type="button" dataOnly="0" labelOnly="1" outline="0" axis="axisRow" fieldPosition="3"/>
    </format>
    <format dxfId="106">
      <pivotArea field="2" type="button" dataOnly="0" labelOnly="1" outline="0" axis="axisRow" fieldPosition="4"/>
    </format>
    <format dxfId="105">
      <pivotArea field="3" type="button" dataOnly="0" labelOnly="1" outline="0" axis="axisRow" fieldPosition="5"/>
    </format>
    <format dxfId="104">
      <pivotArea field="9" type="button" dataOnly="0" labelOnly="1" outline="0" axis="axisRow" fieldPosition="7"/>
    </format>
    <format dxfId="103">
      <pivotArea field="6" type="button" dataOnly="0" labelOnly="1" outline="0" axis="axisRow" fieldPosition="0"/>
    </format>
    <format dxfId="102">
      <pivotArea field="2" type="button" dataOnly="0" labelOnly="1" outline="0" axis="axisRow" fieldPosition="4"/>
    </format>
    <format dxfId="101">
      <pivotArea field="3" type="button" dataOnly="0" labelOnly="1" outline="0" axis="axisRow" fieldPosition="5"/>
    </format>
    <format dxfId="100">
      <pivotArea field="9" type="button" dataOnly="0" labelOnly="1" outline="0" axis="axisRow" fieldPosition="7"/>
    </format>
    <format dxfId="99">
      <pivotArea field="6" type="button" dataOnly="0" labelOnly="1" outline="0" axis="axisRow" fieldPosition="0"/>
    </format>
    <format dxfId="98">
      <pivotArea field="7" type="button" dataOnly="0" labelOnly="1" outline="0"/>
    </format>
    <format dxfId="97">
      <pivotArea field="8" type="button" dataOnly="0" labelOnly="1" outline="0" axis="axisRow" fieldPosition="2"/>
    </format>
    <format dxfId="96">
      <pivotArea field="0" type="button" dataOnly="0" labelOnly="1" outline="0" axis="axisRow" fieldPosition="3"/>
    </format>
    <format dxfId="95">
      <pivotArea field="2" type="button" dataOnly="0" labelOnly="1" outline="0" axis="axisRow" fieldPosition="4"/>
    </format>
    <format dxfId="94">
      <pivotArea field="3" type="button" dataOnly="0" labelOnly="1" outline="0" axis="axisRow" fieldPosition="5"/>
    </format>
    <format dxfId="93">
      <pivotArea field="9" type="button" dataOnly="0" labelOnly="1" outline="0" axis="axisRow" fieldPosition="7"/>
    </format>
    <format dxfId="92">
      <pivotArea field="7" type="button" dataOnly="0" labelOnly="1" outline="0"/>
    </format>
    <format dxfId="91">
      <pivotArea field="8" type="button" dataOnly="0" labelOnly="1" outline="0" axis="axisRow" fieldPosition="2"/>
    </format>
    <format dxfId="90">
      <pivotArea dataOnly="0" labelOnly="1" outline="0" fieldPosition="0">
        <references count="2">
          <reference field="6" count="1" selected="0">
            <x v="2"/>
          </reference>
          <reference field="8" count="1">
            <x v="1"/>
          </reference>
        </references>
      </pivotArea>
    </format>
    <format dxfId="89">
      <pivotArea dataOnly="0" labelOnly="1" outline="0" fieldPosition="0">
        <references count="2">
          <reference field="6" count="1" selected="0">
            <x v="1"/>
          </reference>
          <reference field="8" count="3">
            <x v="0"/>
            <x v="1"/>
            <x v="2"/>
          </reference>
        </references>
      </pivotArea>
    </format>
    <format dxfId="88">
      <pivotArea field="0" type="button" dataOnly="0" labelOnly="1" outline="0" axis="axisRow" fieldPosition="3"/>
    </format>
    <format dxfId="87">
      <pivotArea dataOnly="0" labelOnly="1" outline="0" fieldPosition="0">
        <references count="3">
          <reference field="0" count="1">
            <x v="4"/>
          </reference>
          <reference field="6" count="1" selected="0">
            <x v="2"/>
          </reference>
          <reference field="8" count="1" selected="0">
            <x v="1"/>
          </reference>
        </references>
      </pivotArea>
    </format>
    <format dxfId="86">
      <pivotArea dataOnly="0" labelOnly="1" outline="0" fieldPosition="0">
        <references count="3">
          <reference field="0" count="6">
            <x v="6"/>
            <x v="11"/>
            <x v="12"/>
            <x v="13"/>
            <x v="16"/>
            <x v="17"/>
          </reference>
          <reference field="6" count="1" selected="0">
            <x v="1"/>
          </reference>
          <reference field="8" count="1" selected="0">
            <x v="0"/>
          </reference>
        </references>
      </pivotArea>
    </format>
    <format dxfId="85">
      <pivotArea dataOnly="0" labelOnly="1" outline="0" fieldPosition="0">
        <references count="3">
          <reference field="0" count="5">
            <x v="1"/>
            <x v="2"/>
            <x v="8"/>
            <x v="10"/>
            <x v="15"/>
          </reference>
          <reference field="6" count="1" selected="0">
            <x v="1"/>
          </reference>
          <reference field="8" count="1" selected="0">
            <x v="1"/>
          </reference>
        </references>
      </pivotArea>
    </format>
    <format dxfId="84">
      <pivotArea dataOnly="0" labelOnly="1" outline="0" fieldPosition="0">
        <references count="3">
          <reference field="0" count="1">
            <x v="0"/>
          </reference>
          <reference field="6" count="1" selected="0">
            <x v="1"/>
          </reference>
          <reference field="8" count="1" selected="0">
            <x v="2"/>
          </reference>
        </references>
      </pivotArea>
    </format>
    <format dxfId="83">
      <pivotArea field="1" type="button" dataOnly="0" labelOnly="1" outline="0" axis="axisRow" fieldPosition="6"/>
    </format>
    <format dxfId="82">
      <pivotArea dataOnly="0" labelOnly="1" outline="0" fieldPosition="0">
        <references count="6">
          <reference field="0" count="1" selected="0">
            <x v="4"/>
          </reference>
          <reference field="1" count="2">
            <x v="0"/>
            <x v="4"/>
          </reference>
          <reference field="2" count="1" selected="0">
            <x v="2"/>
          </reference>
          <reference field="3" count="1" selected="0">
            <x v="11"/>
          </reference>
          <reference field="6" count="1" selected="0">
            <x v="2"/>
          </reference>
          <reference field="8" count="1" selected="0">
            <x v="1"/>
          </reference>
        </references>
      </pivotArea>
    </format>
    <format dxfId="81">
      <pivotArea dataOnly="0" labelOnly="1" outline="0" fieldPosition="0">
        <references count="6">
          <reference field="0" count="1" selected="0">
            <x v="6"/>
          </reference>
          <reference field="1" count="1">
            <x v="2"/>
          </reference>
          <reference field="2" count="1" selected="0">
            <x v="5"/>
          </reference>
          <reference field="3" count="1" selected="0">
            <x v="15"/>
          </reference>
          <reference field="6" count="1" selected="0">
            <x v="1"/>
          </reference>
          <reference field="8" count="1" selected="0">
            <x v="0"/>
          </reference>
        </references>
      </pivotArea>
    </format>
    <format dxfId="80">
      <pivotArea dataOnly="0" labelOnly="1" outline="0" fieldPosition="0">
        <references count="6">
          <reference field="0" count="1" selected="0">
            <x v="11"/>
          </reference>
          <reference field="1" count="1">
            <x v="0"/>
          </reference>
          <reference field="2" count="1" selected="0">
            <x v="3"/>
          </reference>
          <reference field="3" count="1" selected="0">
            <x v="9"/>
          </reference>
          <reference field="6" count="1" selected="0">
            <x v="1"/>
          </reference>
          <reference field="8" count="1" selected="0">
            <x v="0"/>
          </reference>
        </references>
      </pivotArea>
    </format>
    <format dxfId="79">
      <pivotArea dataOnly="0" labelOnly="1" outline="0" fieldPosition="0">
        <references count="6">
          <reference field="0" count="1" selected="0">
            <x v="12"/>
          </reference>
          <reference field="1" count="1">
            <x v="2"/>
          </reference>
          <reference field="2" count="1" selected="0">
            <x v="2"/>
          </reference>
          <reference field="3" count="1" selected="0">
            <x v="12"/>
          </reference>
          <reference field="6" count="1" selected="0">
            <x v="1"/>
          </reference>
          <reference field="8" count="1" selected="0">
            <x v="0"/>
          </reference>
        </references>
      </pivotArea>
    </format>
    <format dxfId="78">
      <pivotArea dataOnly="0" labelOnly="1" outline="0" fieldPosition="0">
        <references count="6">
          <reference field="0" count="1" selected="0">
            <x v="17"/>
          </reference>
          <reference field="1" count="1">
            <x v="0"/>
          </reference>
          <reference field="2" count="1" selected="0">
            <x v="4"/>
          </reference>
          <reference field="3" count="1" selected="0">
            <x v="18"/>
          </reference>
          <reference field="6" count="1" selected="0">
            <x v="1"/>
          </reference>
          <reference field="8" count="1" selected="0">
            <x v="0"/>
          </reference>
        </references>
      </pivotArea>
    </format>
    <format dxfId="77">
      <pivotArea dataOnly="0" labelOnly="1" outline="0" fieldPosition="0">
        <references count="6">
          <reference field="0" count="1" selected="0">
            <x v="8"/>
          </reference>
          <reference field="1" count="1">
            <x v="4"/>
          </reference>
          <reference field="2" count="1" selected="0">
            <x v="3"/>
          </reference>
          <reference field="3" count="1" selected="0">
            <x v="1"/>
          </reference>
          <reference field="6" count="1" selected="0">
            <x v="1"/>
          </reference>
          <reference field="8" count="1" selected="0">
            <x v="1"/>
          </reference>
        </references>
      </pivotArea>
    </format>
    <format dxfId="76">
      <pivotArea dataOnly="0" labelOnly="1" outline="0" fieldPosition="0">
        <references count="6">
          <reference field="0" count="1" selected="0">
            <x v="10"/>
          </reference>
          <reference field="1" count="1">
            <x v="0"/>
          </reference>
          <reference field="2" count="1" selected="0">
            <x v="6"/>
          </reference>
          <reference field="3" count="1" selected="0">
            <x v="4"/>
          </reference>
          <reference field="6" count="1" selected="0">
            <x v="1"/>
          </reference>
          <reference field="8" count="1" selected="0">
            <x v="1"/>
          </reference>
        </references>
      </pivotArea>
    </format>
    <format dxfId="75">
      <pivotArea dataOnly="0" labelOnly="1" outline="0" fieldPosition="0">
        <references count="6">
          <reference field="0" count="1" selected="0">
            <x v="15"/>
          </reference>
          <reference field="1" count="1">
            <x v="2"/>
          </reference>
          <reference field="2" count="1" selected="0">
            <x v="5"/>
          </reference>
          <reference field="3" count="1" selected="0">
            <x v="7"/>
          </reference>
          <reference field="6" count="1" selected="0">
            <x v="1"/>
          </reference>
          <reference field="8" count="1" selected="0">
            <x v="1"/>
          </reference>
        </references>
      </pivotArea>
    </format>
    <format dxfId="74">
      <pivotArea dataOnly="0" labelOnly="1" outline="0" fieldPosition="0">
        <references count="6">
          <reference field="0" count="1" selected="0">
            <x v="0"/>
          </reference>
          <reference field="1" count="2">
            <x v="0"/>
            <x v="4"/>
          </reference>
          <reference field="2" count="1" selected="0">
            <x v="0"/>
          </reference>
          <reference field="3" count="1" selected="0">
            <x v="3"/>
          </reference>
          <reference field="6" count="1" selected="0">
            <x v="1"/>
          </reference>
          <reference field="8" count="1" selected="0">
            <x v="2"/>
          </reference>
        </references>
      </pivotArea>
    </format>
    <format dxfId="59">
      <pivotArea dataOnly="0" labelOnly="1" outline="0" fieldPosition="0">
        <references count="3">
          <reference field="6" count="1" selected="0">
            <x v="1"/>
          </reference>
          <reference field="8" count="1">
            <x v="2"/>
          </reference>
          <reference field="10" count="1" selected="0">
            <x v="3"/>
          </reference>
        </references>
      </pivotArea>
    </format>
    <format dxfId="58">
      <pivotArea dataOnly="0" labelOnly="1" outline="0" fieldPosition="0">
        <references count="4">
          <reference field="0" count="3">
            <x v="1"/>
            <x v="2"/>
            <x v="8"/>
          </reference>
          <reference field="6" count="1" selected="0">
            <x v="1"/>
          </reference>
          <reference field="8" count="1" selected="0">
            <x v="1"/>
          </reference>
          <reference field="10" count="1" selected="0">
            <x v="3"/>
          </reference>
        </references>
      </pivotArea>
    </format>
    <format dxfId="57">
      <pivotArea dataOnly="0" labelOnly="1" outline="0" fieldPosition="0">
        <references count="4">
          <reference field="0" count="1">
            <x v="0"/>
          </reference>
          <reference field="6" count="1" selected="0">
            <x v="1"/>
          </reference>
          <reference field="8" count="1" selected="0">
            <x v="2"/>
          </reference>
          <reference field="10" count="1" selected="0">
            <x v="3"/>
          </reference>
        </references>
      </pivotArea>
    </format>
    <format dxfId="56">
      <pivotArea dataOnly="0" labelOnly="1" outline="0" fieldPosition="0">
        <references count="5">
          <reference field="0" count="1" selected="0">
            <x v="1"/>
          </reference>
          <reference field="2" count="1">
            <x v="1"/>
          </reference>
          <reference field="6" count="1" selected="0">
            <x v="1"/>
          </reference>
          <reference field="8" count="1" selected="0">
            <x v="1"/>
          </reference>
          <reference field="10" count="1" selected="0">
            <x v="3"/>
          </reference>
        </references>
      </pivotArea>
    </format>
    <format dxfId="55">
      <pivotArea dataOnly="0" labelOnly="1" outline="0" fieldPosition="0">
        <references count="5">
          <reference field="0" count="1" selected="0">
            <x v="2"/>
          </reference>
          <reference field="2" count="1">
            <x v="2"/>
          </reference>
          <reference field="6" count="1" selected="0">
            <x v="1"/>
          </reference>
          <reference field="8" count="1" selected="0">
            <x v="1"/>
          </reference>
          <reference field="10" count="1" selected="0">
            <x v="3"/>
          </reference>
        </references>
      </pivotArea>
    </format>
    <format dxfId="54">
      <pivotArea dataOnly="0" labelOnly="1" outline="0" fieldPosition="0">
        <references count="5">
          <reference field="0" count="1" selected="0">
            <x v="0"/>
          </reference>
          <reference field="2" count="1">
            <x v="0"/>
          </reference>
          <reference field="6" count="1" selected="0">
            <x v="1"/>
          </reference>
          <reference field="8" count="1" selected="0">
            <x v="2"/>
          </reference>
          <reference field="10" count="1" selected="0">
            <x v="3"/>
          </reference>
        </references>
      </pivotArea>
    </format>
    <format dxfId="53">
      <pivotArea dataOnly="0" labelOnly="1" outline="0" fieldPosition="0">
        <references count="6">
          <reference field="0" count="1" selected="0">
            <x v="1"/>
          </reference>
          <reference field="2" count="1" selected="0">
            <x v="1"/>
          </reference>
          <reference field="3" count="1">
            <x v="17"/>
          </reference>
          <reference field="6" count="1" selected="0">
            <x v="1"/>
          </reference>
          <reference field="8" count="1" selected="0">
            <x v="1"/>
          </reference>
          <reference field="10" count="1" selected="0">
            <x v="3"/>
          </reference>
        </references>
      </pivotArea>
    </format>
    <format dxfId="52">
      <pivotArea dataOnly="0" labelOnly="1" outline="0" fieldPosition="0">
        <references count="6">
          <reference field="0" count="1" selected="0">
            <x v="2"/>
          </reference>
          <reference field="2" count="1" selected="0">
            <x v="2"/>
          </reference>
          <reference field="3" count="1">
            <x v="16"/>
          </reference>
          <reference field="6" count="1" selected="0">
            <x v="1"/>
          </reference>
          <reference field="8" count="1" selected="0">
            <x v="1"/>
          </reference>
          <reference field="10" count="1" selected="0">
            <x v="3"/>
          </reference>
        </references>
      </pivotArea>
    </format>
    <format dxfId="51">
      <pivotArea dataOnly="0" labelOnly="1" outline="0" fieldPosition="0">
        <references count="6">
          <reference field="0" count="1" selected="0">
            <x v="0"/>
          </reference>
          <reference field="2" count="1" selected="0">
            <x v="0"/>
          </reference>
          <reference field="3" count="1">
            <x v="3"/>
          </reference>
          <reference field="6" count="1" selected="0">
            <x v="1"/>
          </reference>
          <reference field="8" count="1" selected="0">
            <x v="2"/>
          </reference>
          <reference field="10" count="1" selected="0">
            <x v="3"/>
          </reference>
        </references>
      </pivotArea>
    </format>
    <format dxfId="50">
      <pivotArea dataOnly="0" labelOnly="1" outline="0" fieldPosition="0">
        <references count="7">
          <reference field="0" count="1" selected="0">
            <x v="1"/>
          </reference>
          <reference field="1" count="1">
            <x v="0"/>
          </reference>
          <reference field="2" count="1" selected="0">
            <x v="1"/>
          </reference>
          <reference field="3" count="1" selected="0">
            <x v="17"/>
          </reference>
          <reference field="6" count="1" selected="0">
            <x v="1"/>
          </reference>
          <reference field="8" count="1" selected="0">
            <x v="1"/>
          </reference>
          <reference field="10" count="1" selected="0">
            <x v="3"/>
          </reference>
        </references>
      </pivotArea>
    </format>
    <format dxfId="49">
      <pivotArea dataOnly="0" labelOnly="1" outline="0" fieldPosition="0">
        <references count="8">
          <reference field="0" count="1" selected="0">
            <x v="1"/>
          </reference>
          <reference field="1" count="1" selected="0">
            <x v="0"/>
          </reference>
          <reference field="2" count="1" selected="0">
            <x v="1"/>
          </reference>
          <reference field="3" count="1" selected="0">
            <x v="17"/>
          </reference>
          <reference field="6" count="1" selected="0">
            <x v="1"/>
          </reference>
          <reference field="8" count="1" selected="0">
            <x v="1"/>
          </reference>
          <reference field="9" count="1">
            <x v="7"/>
          </reference>
          <reference field="10" count="1" selected="0">
            <x v="3"/>
          </reference>
        </references>
      </pivotArea>
    </format>
    <format dxfId="48">
      <pivotArea dataOnly="0" labelOnly="1" outline="0" fieldPosition="0">
        <references count="8">
          <reference field="0" count="1" selected="0">
            <x v="2"/>
          </reference>
          <reference field="1" count="1" selected="0">
            <x v="0"/>
          </reference>
          <reference field="2" count="1" selected="0">
            <x v="2"/>
          </reference>
          <reference field="3" count="1" selected="0">
            <x v="16"/>
          </reference>
          <reference field="6" count="1" selected="0">
            <x v="1"/>
          </reference>
          <reference field="8" count="1" selected="0">
            <x v="1"/>
          </reference>
          <reference field="9" count="1">
            <x v="0"/>
          </reference>
          <reference field="10" count="1" selected="0">
            <x v="3"/>
          </reference>
        </references>
      </pivotArea>
    </format>
    <format dxfId="47">
      <pivotArea dataOnly="0" labelOnly="1" outline="0" fieldPosition="0">
        <references count="8">
          <reference field="0" count="1" selected="0">
            <x v="0"/>
          </reference>
          <reference field="1" count="1" selected="0">
            <x v="4"/>
          </reference>
          <reference field="2" count="1" selected="0">
            <x v="0"/>
          </reference>
          <reference field="3" count="1" selected="0">
            <x v="3"/>
          </reference>
          <reference field="6" count="1" selected="0">
            <x v="1"/>
          </reference>
          <reference field="8" count="1" selected="0">
            <x v="2"/>
          </reference>
          <reference field="9" count="1">
            <x v="14"/>
          </reference>
          <reference field="10" count="1" selected="0">
            <x v="3"/>
          </reference>
        </references>
      </pivotArea>
    </format>
    <format dxfId="46">
      <pivotArea dataOnly="0" labelOnly="1" outline="0" fieldPosition="0">
        <references count="1">
          <reference field="6" count="0"/>
        </references>
      </pivotArea>
    </format>
    <format dxfId="45">
      <pivotArea dataOnly="0" labelOnly="1" outline="0" fieldPosition="0">
        <references count="2">
          <reference field="6" count="1" selected="0">
            <x v="1"/>
          </reference>
          <reference field="10" count="2">
            <x v="0"/>
            <x v="3"/>
          </reference>
        </references>
      </pivotArea>
    </format>
    <format dxfId="44">
      <pivotArea dataOnly="0" labelOnly="1" outline="0" fieldPosition="0">
        <references count="3">
          <reference field="6" count="1" selected="0">
            <x v="1"/>
          </reference>
          <reference field="8" count="1">
            <x v="1"/>
          </reference>
          <reference field="10" count="1" selected="0">
            <x v="0"/>
          </reference>
        </references>
      </pivotArea>
    </format>
    <format dxfId="43">
      <pivotArea dataOnly="0" labelOnly="1" outline="0" fieldPosition="0">
        <references count="4">
          <reference field="0" count="4">
            <x v="1"/>
            <x v="2"/>
            <x v="10"/>
            <x v="15"/>
          </reference>
          <reference field="6" count="1" selected="0">
            <x v="1"/>
          </reference>
          <reference field="8" count="1" selected="0">
            <x v="1"/>
          </reference>
          <reference field="10" count="1" selected="0">
            <x v="0"/>
          </reference>
        </references>
      </pivotArea>
    </format>
    <format dxfId="42">
      <pivotArea dataOnly="0" labelOnly="1" outline="0" fieldPosition="0">
        <references count="4">
          <reference field="0" count="1">
            <x v="8"/>
          </reference>
          <reference field="6" count="1" selected="0">
            <x v="1"/>
          </reference>
          <reference field="8" count="1" selected="0">
            <x v="1"/>
          </reference>
          <reference field="10" count="1" selected="0">
            <x v="3"/>
          </reference>
        </references>
      </pivotArea>
    </format>
    <format dxfId="41">
      <pivotArea dataOnly="0" labelOnly="1" outline="0" fieldPosition="0">
        <references count="4">
          <reference field="0" count="1">
            <x v="4"/>
          </reference>
          <reference field="6" count="1" selected="0">
            <x v="2"/>
          </reference>
          <reference field="8" count="1" selected="0">
            <x v="1"/>
          </reference>
          <reference field="10" count="1" selected="0">
            <x v="3"/>
          </reference>
        </references>
      </pivotArea>
    </format>
    <format dxfId="40">
      <pivotArea dataOnly="0" labelOnly="1" outline="0" fieldPosition="0">
        <references count="5">
          <reference field="0" count="1" selected="0">
            <x v="1"/>
          </reference>
          <reference field="2" count="1">
            <x v="1"/>
          </reference>
          <reference field="6" count="1" selected="0">
            <x v="1"/>
          </reference>
          <reference field="8" count="1" selected="0">
            <x v="1"/>
          </reference>
          <reference field="10" count="1" selected="0">
            <x v="0"/>
          </reference>
        </references>
      </pivotArea>
    </format>
    <format dxfId="39">
      <pivotArea dataOnly="0" labelOnly="1" outline="0" fieldPosition="0">
        <references count="5">
          <reference field="0" count="1" selected="0">
            <x v="2"/>
          </reference>
          <reference field="2" count="1">
            <x v="2"/>
          </reference>
          <reference field="6" count="1" selected="0">
            <x v="1"/>
          </reference>
          <reference field="8" count="1" selected="0">
            <x v="1"/>
          </reference>
          <reference field="10" count="1" selected="0">
            <x v="0"/>
          </reference>
        </references>
      </pivotArea>
    </format>
    <format dxfId="38">
      <pivotArea dataOnly="0" labelOnly="1" outline="0" fieldPosition="0">
        <references count="5">
          <reference field="0" count="1" selected="0">
            <x v="10"/>
          </reference>
          <reference field="2" count="1">
            <x v="6"/>
          </reference>
          <reference field="6" count="1" selected="0">
            <x v="1"/>
          </reference>
          <reference field="8" count="1" selected="0">
            <x v="1"/>
          </reference>
          <reference field="10" count="1" selected="0">
            <x v="0"/>
          </reference>
        </references>
      </pivotArea>
    </format>
    <format dxfId="37">
      <pivotArea dataOnly="0" labelOnly="1" outline="0" fieldPosition="0">
        <references count="5">
          <reference field="0" count="1" selected="0">
            <x v="15"/>
          </reference>
          <reference field="2" count="1">
            <x v="5"/>
          </reference>
          <reference field="6" count="1" selected="0">
            <x v="1"/>
          </reference>
          <reference field="8" count="1" selected="0">
            <x v="1"/>
          </reference>
          <reference field="10" count="1" selected="0">
            <x v="0"/>
          </reference>
        </references>
      </pivotArea>
    </format>
    <format dxfId="36">
      <pivotArea dataOnly="0" labelOnly="1" outline="0" fieldPosition="0">
        <references count="5">
          <reference field="0" count="1" selected="0">
            <x v="8"/>
          </reference>
          <reference field="2" count="1">
            <x v="3"/>
          </reference>
          <reference field="6" count="1" selected="0">
            <x v="1"/>
          </reference>
          <reference field="8" count="1" selected="0">
            <x v="1"/>
          </reference>
          <reference field="10" count="1" selected="0">
            <x v="3"/>
          </reference>
        </references>
      </pivotArea>
    </format>
    <format dxfId="35">
      <pivotArea dataOnly="0" labelOnly="1" outline="0" fieldPosition="0">
        <references count="5">
          <reference field="0" count="1" selected="0">
            <x v="4"/>
          </reference>
          <reference field="2" count="1">
            <x v="2"/>
          </reference>
          <reference field="6" count="1" selected="0">
            <x v="2"/>
          </reference>
          <reference field="8" count="1" selected="0">
            <x v="1"/>
          </reference>
          <reference field="10" count="1" selected="0">
            <x v="3"/>
          </reference>
        </references>
      </pivotArea>
    </format>
    <format dxfId="34">
      <pivotArea dataOnly="0" labelOnly="1" outline="0" fieldPosition="0">
        <references count="6">
          <reference field="0" count="1" selected="0">
            <x v="1"/>
          </reference>
          <reference field="2" count="1" selected="0">
            <x v="1"/>
          </reference>
          <reference field="3" count="1">
            <x v="17"/>
          </reference>
          <reference field="6" count="1" selected="0">
            <x v="1"/>
          </reference>
          <reference field="8" count="1" selected="0">
            <x v="1"/>
          </reference>
          <reference field="10" count="1" selected="0">
            <x v="0"/>
          </reference>
        </references>
      </pivotArea>
    </format>
    <format dxfId="33">
      <pivotArea dataOnly="0" labelOnly="1" outline="0" fieldPosition="0">
        <references count="6">
          <reference field="0" count="1" selected="0">
            <x v="2"/>
          </reference>
          <reference field="2" count="1" selected="0">
            <x v="2"/>
          </reference>
          <reference field="3" count="1">
            <x v="16"/>
          </reference>
          <reference field="6" count="1" selected="0">
            <x v="1"/>
          </reference>
          <reference field="8" count="1" selected="0">
            <x v="1"/>
          </reference>
          <reference field="10" count="1" selected="0">
            <x v="0"/>
          </reference>
        </references>
      </pivotArea>
    </format>
    <format dxfId="32">
      <pivotArea dataOnly="0" labelOnly="1" outline="0" fieldPosition="0">
        <references count="6">
          <reference field="0" count="1" selected="0">
            <x v="10"/>
          </reference>
          <reference field="2" count="1" selected="0">
            <x v="6"/>
          </reference>
          <reference field="3" count="1">
            <x v="4"/>
          </reference>
          <reference field="6" count="1" selected="0">
            <x v="1"/>
          </reference>
          <reference field="8" count="1" selected="0">
            <x v="1"/>
          </reference>
          <reference field="10" count="1" selected="0">
            <x v="0"/>
          </reference>
        </references>
      </pivotArea>
    </format>
    <format dxfId="31">
      <pivotArea dataOnly="0" labelOnly="1" outline="0" fieldPosition="0">
        <references count="6">
          <reference field="0" count="1" selected="0">
            <x v="15"/>
          </reference>
          <reference field="2" count="1" selected="0">
            <x v="5"/>
          </reference>
          <reference field="3" count="1">
            <x v="7"/>
          </reference>
          <reference field="6" count="1" selected="0">
            <x v="1"/>
          </reference>
          <reference field="8" count="1" selected="0">
            <x v="1"/>
          </reference>
          <reference field="10" count="1" selected="0">
            <x v="0"/>
          </reference>
        </references>
      </pivotArea>
    </format>
    <format dxfId="30">
      <pivotArea dataOnly="0" labelOnly="1" outline="0" fieldPosition="0">
        <references count="6">
          <reference field="0" count="1" selected="0">
            <x v="8"/>
          </reference>
          <reference field="2" count="1" selected="0">
            <x v="3"/>
          </reference>
          <reference field="3" count="1">
            <x v="1"/>
          </reference>
          <reference field="6" count="1" selected="0">
            <x v="1"/>
          </reference>
          <reference field="8" count="1" selected="0">
            <x v="1"/>
          </reference>
          <reference field="10" count="1" selected="0">
            <x v="3"/>
          </reference>
        </references>
      </pivotArea>
    </format>
    <format dxfId="29">
      <pivotArea dataOnly="0" labelOnly="1" outline="0" fieldPosition="0">
        <references count="6">
          <reference field="0" count="1" selected="0">
            <x v="4"/>
          </reference>
          <reference field="2" count="1" selected="0">
            <x v="2"/>
          </reference>
          <reference field="3" count="1">
            <x v="11"/>
          </reference>
          <reference field="6" count="1" selected="0">
            <x v="2"/>
          </reference>
          <reference field="8" count="1" selected="0">
            <x v="1"/>
          </reference>
          <reference field="10" count="1" selected="0">
            <x v="3"/>
          </reference>
        </references>
      </pivotArea>
    </format>
    <format dxfId="28">
      <pivotArea dataOnly="0" labelOnly="1" outline="0" fieldPosition="0">
        <references count="7">
          <reference field="0" count="1" selected="0">
            <x v="1"/>
          </reference>
          <reference field="1" count="1">
            <x v="0"/>
          </reference>
          <reference field="2" count="1" selected="0">
            <x v="1"/>
          </reference>
          <reference field="3" count="1" selected="0">
            <x v="17"/>
          </reference>
          <reference field="6" count="1" selected="0">
            <x v="1"/>
          </reference>
          <reference field="8" count="1" selected="0">
            <x v="1"/>
          </reference>
          <reference field="10" count="1" selected="0">
            <x v="0"/>
          </reference>
        </references>
      </pivotArea>
    </format>
    <format dxfId="27">
      <pivotArea dataOnly="0" labelOnly="1" outline="0" fieldPosition="0">
        <references count="7">
          <reference field="0" count="1" selected="0">
            <x v="15"/>
          </reference>
          <reference field="1" count="1">
            <x v="2"/>
          </reference>
          <reference field="2" count="1" selected="0">
            <x v="5"/>
          </reference>
          <reference field="3" count="1" selected="0">
            <x v="7"/>
          </reference>
          <reference field="6" count="1" selected="0">
            <x v="1"/>
          </reference>
          <reference field="8" count="1" selected="0">
            <x v="1"/>
          </reference>
          <reference field="10" count="1" selected="0">
            <x v="0"/>
          </reference>
        </references>
      </pivotArea>
    </format>
    <format dxfId="26">
      <pivotArea dataOnly="0" labelOnly="1" outline="0" fieldPosition="0">
        <references count="7">
          <reference field="0" count="1" selected="0">
            <x v="8"/>
          </reference>
          <reference field="1" count="1">
            <x v="4"/>
          </reference>
          <reference field="2" count="1" selected="0">
            <x v="3"/>
          </reference>
          <reference field="3" count="1" selected="0">
            <x v="1"/>
          </reference>
          <reference field="6" count="1" selected="0">
            <x v="1"/>
          </reference>
          <reference field="8" count="1" selected="0">
            <x v="1"/>
          </reference>
          <reference field="10" count="1" selected="0">
            <x v="3"/>
          </reference>
        </references>
      </pivotArea>
    </format>
    <format dxfId="25">
      <pivotArea dataOnly="0" labelOnly="1" outline="0" fieldPosition="0">
        <references count="7">
          <reference field="0" count="1" selected="0">
            <x v="4"/>
          </reference>
          <reference field="1" count="2">
            <x v="0"/>
            <x v="4"/>
          </reference>
          <reference field="2" count="1" selected="0">
            <x v="2"/>
          </reference>
          <reference field="3" count="1" selected="0">
            <x v="11"/>
          </reference>
          <reference field="6" count="1" selected="0">
            <x v="2"/>
          </reference>
          <reference field="8" count="1" selected="0">
            <x v="1"/>
          </reference>
          <reference field="10" count="1" selected="0">
            <x v="3"/>
          </reference>
        </references>
      </pivotArea>
    </format>
    <format dxfId="24">
      <pivotArea dataOnly="0" labelOnly="1" outline="0" fieldPosition="0">
        <references count="8">
          <reference field="0" count="1" selected="0">
            <x v="1"/>
          </reference>
          <reference field="1" count="1" selected="0">
            <x v="0"/>
          </reference>
          <reference field="2" count="1" selected="0">
            <x v="1"/>
          </reference>
          <reference field="3" count="1" selected="0">
            <x v="17"/>
          </reference>
          <reference field="6" count="1" selected="0">
            <x v="1"/>
          </reference>
          <reference field="8" count="1" selected="0">
            <x v="1"/>
          </reference>
          <reference field="9" count="1">
            <x v="7"/>
          </reference>
          <reference field="10" count="1" selected="0">
            <x v="0"/>
          </reference>
        </references>
      </pivotArea>
    </format>
    <format dxfId="23">
      <pivotArea dataOnly="0" labelOnly="1" outline="0" fieldPosition="0">
        <references count="8">
          <reference field="0" count="1" selected="0">
            <x v="2"/>
          </reference>
          <reference field="1" count="1" selected="0">
            <x v="0"/>
          </reference>
          <reference field="2" count="1" selected="0">
            <x v="2"/>
          </reference>
          <reference field="3" count="1" selected="0">
            <x v="16"/>
          </reference>
          <reference field="6" count="1" selected="0">
            <x v="1"/>
          </reference>
          <reference field="8" count="1" selected="0">
            <x v="1"/>
          </reference>
          <reference field="9" count="1">
            <x v="0"/>
          </reference>
          <reference field="10" count="1" selected="0">
            <x v="0"/>
          </reference>
        </references>
      </pivotArea>
    </format>
    <format dxfId="22">
      <pivotArea dataOnly="0" labelOnly="1" outline="0" fieldPosition="0">
        <references count="8">
          <reference field="0" count="1" selected="0">
            <x v="10"/>
          </reference>
          <reference field="1" count="1" selected="0">
            <x v="0"/>
          </reference>
          <reference field="2" count="1" selected="0">
            <x v="6"/>
          </reference>
          <reference field="3" count="1" selected="0">
            <x v="4"/>
          </reference>
          <reference field="6" count="1" selected="0">
            <x v="1"/>
          </reference>
          <reference field="8" count="1" selected="0">
            <x v="1"/>
          </reference>
          <reference field="9" count="1">
            <x v="9"/>
          </reference>
          <reference field="10" count="1" selected="0">
            <x v="0"/>
          </reference>
        </references>
      </pivotArea>
    </format>
    <format dxfId="21">
      <pivotArea dataOnly="0" labelOnly="1" outline="0" fieldPosition="0">
        <references count="8">
          <reference field="0" count="1" selected="0">
            <x v="15"/>
          </reference>
          <reference field="1" count="1" selected="0">
            <x v="2"/>
          </reference>
          <reference field="2" count="1" selected="0">
            <x v="5"/>
          </reference>
          <reference field="3" count="1" selected="0">
            <x v="7"/>
          </reference>
          <reference field="6" count="1" selected="0">
            <x v="1"/>
          </reference>
          <reference field="8" count="1" selected="0">
            <x v="1"/>
          </reference>
          <reference field="9" count="1">
            <x v="5"/>
          </reference>
          <reference field="10" count="1" selected="0">
            <x v="0"/>
          </reference>
        </references>
      </pivotArea>
    </format>
    <format dxfId="20">
      <pivotArea dataOnly="0" labelOnly="1" outline="0" fieldPosition="0">
        <references count="8">
          <reference field="0" count="1" selected="0">
            <x v="8"/>
          </reference>
          <reference field="1" count="1" selected="0">
            <x v="4"/>
          </reference>
          <reference field="2" count="1" selected="0">
            <x v="3"/>
          </reference>
          <reference field="3" count="1" selected="0">
            <x v="1"/>
          </reference>
          <reference field="6" count="1" selected="0">
            <x v="1"/>
          </reference>
          <reference field="8" count="1" selected="0">
            <x v="1"/>
          </reference>
          <reference field="9" count="1">
            <x v="4"/>
          </reference>
          <reference field="10" count="1" selected="0">
            <x v="3"/>
          </reference>
        </references>
      </pivotArea>
    </format>
    <format dxfId="19">
      <pivotArea dataOnly="0" labelOnly="1" outline="0" fieldPosition="0">
        <references count="8">
          <reference field="0" count="1" selected="0">
            <x v="4"/>
          </reference>
          <reference field="1" count="1" selected="0">
            <x v="0"/>
          </reference>
          <reference field="2" count="1" selected="0">
            <x v="2"/>
          </reference>
          <reference field="3" count="1" selected="0">
            <x v="11"/>
          </reference>
          <reference field="6" count="1" selected="0">
            <x v="2"/>
          </reference>
          <reference field="8" count="1" selected="0">
            <x v="1"/>
          </reference>
          <reference field="9" count="1">
            <x v="12"/>
          </reference>
          <reference field="10" count="1" selected="0">
            <x v="3"/>
          </reference>
        </references>
      </pivotArea>
    </format>
    <format dxfId="18">
      <pivotArea dataOnly="0" labelOnly="1" outline="0" fieldPosition="0">
        <references count="8">
          <reference field="0" count="1" selected="0">
            <x v="4"/>
          </reference>
          <reference field="1" count="1" selected="0">
            <x v="4"/>
          </reference>
          <reference field="2" count="1" selected="0">
            <x v="2"/>
          </reference>
          <reference field="3" count="1" selected="0">
            <x v="11"/>
          </reference>
          <reference field="6" count="1" selected="0">
            <x v="2"/>
          </reference>
          <reference field="8" count="1" selected="0">
            <x v="1"/>
          </reference>
          <reference field="9" count="1">
            <x v="13"/>
          </reference>
          <reference field="10" count="1" selected="0">
            <x v="3"/>
          </reference>
        </references>
      </pivotArea>
    </format>
  </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A7B37B-2994-40CF-AD9E-7F8581AE2C0E}" name="Table1" displayName="Table1" ref="A1:L23" totalsRowShown="0" headerRowDxfId="73" dataDxfId="72">
  <autoFilter ref="A1:L23" xr:uid="{CCA7B37B-2994-40CF-AD9E-7F8581AE2C0E}"/>
  <tableColumns count="12">
    <tableColumn id="1" xr3:uid="{D8F0255E-8F0E-4384-9FF4-CFB4D0BEFCA4}" name="Problema N°" dataDxfId="71"/>
    <tableColumn id="2" xr3:uid="{25F1655A-DBB0-488D-90CC-5A7940322F89}" name="Hipotesis utilizada" dataDxfId="70"/>
    <tableColumn id="7" xr3:uid="{8BCDFA69-3D70-4999-8A6B-CD7765284BDC}" name="Categoria" dataDxfId="69"/>
    <tableColumn id="3" xr3:uid="{47EBDB67-EB2F-4D85-B0B3-81AD72FE81C1}" name="Nombre Experimento" dataDxfId="68"/>
    <tableColumn id="4" xr3:uid="{938704E0-51E0-4CE1-B303-BB2187FEDB35}" name="Probado por" dataDxfId="67"/>
    <tableColumn id="5" xr3:uid="{0954B825-2FF3-41FD-A2DA-CABEC6CF6DDC}" name="Observaciones" dataDxfId="66"/>
    <tableColumn id="8" xr3:uid="{83D5111D-F0D4-4F56-9F48-34B5D8965744}" name="Lo uso?" dataDxfId="65"/>
    <tableColumn id="11" xr3:uid="{CDA124D3-6AAD-4609-AF1F-FDE540DE09BD}" name="Coincidencia?" dataDxfId="64"/>
    <tableColumn id="9" xr3:uid="{3C7BC746-CE9A-4F50-97C3-58F73884CD42}" name="Modifica codigo?" dataDxfId="63"/>
    <tableColumn id="10" xr3:uid="{29A999B7-CF1C-45C3-9B70-8A58D2FB7B58}" name="Modificación" dataDxfId="62"/>
    <tableColumn id="12" xr3:uid="{60BAB15E-C5E0-4D5B-8A41-2FA526FCC879}" name="Status" dataDxfId="61"/>
    <tableColumn id="6" xr3:uid="{09DF15EA-68D7-4754-BC67-E86521CC6D34}" name="Link Repo:" dataDxfId="6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182A78-D9AC-4804-ACAC-A12DAF70DA39}" name="Table13" displayName="Table13" ref="B1:I32" totalsRowShown="0" headerRowDxfId="13" dataDxfId="12">
  <autoFilter ref="B1:I32" xr:uid="{F7405785-3135-43EC-B12E-1927167DDB80}"/>
  <tableColumns count="8">
    <tableColumn id="1" xr3:uid="{2FACBE13-8DDE-4B22-B4CB-64E4D902C405}" name="Hiperparámetro" dataDxfId="11"/>
    <tableColumn id="2" xr3:uid="{87FFB25B-64D9-4436-B916-2A254FD9ACC7}" name="Qué controla" dataDxfId="10"/>
    <tableColumn id="3" xr3:uid="{251B81C3-C3EF-472B-B7FB-E17AC87AF761}" name="Rango típico (para optimización)" dataDxfId="9"/>
    <tableColumn id="5" xr3:uid="{0FCDD8D6-8ED3-455C-A9C1-C47C9C253ED9}" name="!" dataDxfId="8"/>
    <tableColumn id="4" xr3:uid="{2D19BA67-5D55-4E41-8E24-7540BCBA798E}" name="Impacto" dataDxfId="7"/>
    <tableColumn id="6" xr3:uid="{B816545D-4E00-4B40-915F-A4B671E45006}" name="A Optimizar" dataDxfId="6"/>
    <tableColumn id="7" xr3:uid="{AE0637C1-FC5A-46FE-A835-ED2146E77A02}" name="Valor/es" dataDxfId="5"/>
    <tableColumn id="8" xr3:uid="{38F4D4D9-9C4B-4FF9-9909-9EEE3522A29D}" name="Comentario" dataDxfId="4"/>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11D5EA9-3BD9-4374-8180-4F61B0E3FCB2}" name="Table2" displayName="Table2" ref="K1:L4" totalsRowShown="0" headerRowDxfId="3" dataDxfId="2">
  <autoFilter ref="K1:L4" xr:uid="{6745A24E-E0BF-4A0A-9851-D2281B61BAC9}"/>
  <tableColumns count="2">
    <tableColumn id="1" xr3:uid="{4F936A2A-25F7-4E49-88B2-7A3E74D4B7C3}" name="Nivel de impacto" dataDxfId="1"/>
    <tableColumn id="2" xr3:uid="{569C1D0D-FE79-467D-B6B4-60450ED0AE36}" name="Hiperparámetros clave" dataDxfId="0"/>
  </tableColumns>
  <tableStyleInfo name="TableStyleLight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github.com/luciaphmaestria/labo2025v/tree/main/src/workflows/Experimento18" TargetMode="External"/><Relationship Id="rId13" Type="http://schemas.openxmlformats.org/officeDocument/2006/relationships/hyperlink" Target="https://github.com/nicohorn/labo2025v" TargetMode="External"/><Relationship Id="rId3" Type="http://schemas.openxmlformats.org/officeDocument/2006/relationships/hyperlink" Target="https://github.com/LeonardoGastaldo/labo2025v/blob/main/src/workflows/610_WorkFlow_6H_248887_63137_gerencial_julio.ipynb" TargetMode="External"/><Relationship Id="rId7" Type="http://schemas.openxmlformats.org/officeDocument/2006/relationships/hyperlink" Target="https://github.com/emiksiazenicer/labo2025v/tree/main/src/Experimento17/corridas/Flow" TargetMode="External"/><Relationship Id="rId12" Type="http://schemas.openxmlformats.org/officeDocument/2006/relationships/hyperlink" Target="https://github.com/keiverdatascience/labo2025v/tree/main/src/experimento_03" TargetMode="External"/><Relationship Id="rId2" Type="http://schemas.openxmlformats.org/officeDocument/2006/relationships/hyperlink" Target="https://github.com/Pau-Cal/Experimento-Lab-I-2025" TargetMode="External"/><Relationship Id="rId16" Type="http://schemas.openxmlformats.org/officeDocument/2006/relationships/table" Target="../tables/table1.xml"/><Relationship Id="rId1" Type="http://schemas.openxmlformats.org/officeDocument/2006/relationships/hyperlink" Target="https://github.com/fernandopaganiniaustral/labo2025v/tree/main/experimento_colaborativo_03_grupoA" TargetMode="External"/><Relationship Id="rId6" Type="http://schemas.openxmlformats.org/officeDocument/2006/relationships/hyperlink" Target="https://github.com/gastonviveros2411/labo2025v/blob/main/Problema_16_grupo_A.ipynb" TargetMode="External"/><Relationship Id="rId11" Type="http://schemas.openxmlformats.org/officeDocument/2006/relationships/hyperlink" Target="https://github.com/analiajaime/ExperimentosDataDrifting" TargetMode="External"/><Relationship Id="rId5" Type="http://schemas.openxmlformats.org/officeDocument/2006/relationships/hyperlink" Target="https://github.com/claralynch/Labo1_Grupo13" TargetMode="External"/><Relationship Id="rId15" Type="http://schemas.openxmlformats.org/officeDocument/2006/relationships/hyperlink" Target="https://github.com/mateodagos221292/Austral_Lab_Exp_Boosting_2025.git" TargetMode="External"/><Relationship Id="rId10" Type="http://schemas.openxmlformats.org/officeDocument/2006/relationships/hyperlink" Target="https://github.com/patriciasandagorda/labo2025v/tree/main/src/workflows/experimentoPara%20replicar%20el%20m&#233;todo%20recomendado%20ML%20no%20se%20debe%20modificar%20nada%20del%20workflow%20(ML%20viene%20por%20default)" TargetMode="External"/><Relationship Id="rId4" Type="http://schemas.openxmlformats.org/officeDocument/2006/relationships/hyperlink" Target="https://github.com/carmentello/labo2025v/tree/main/src/experimento_metricaOptimizacion" TargetMode="External"/><Relationship Id="rId9" Type="http://schemas.openxmlformats.org/officeDocument/2006/relationships/hyperlink" Target="https://github.com/scremydas/labo2025v/tree/main/src/workflows/Experimento" TargetMode="External"/><Relationship Id="rId14" Type="http://schemas.openxmlformats.org/officeDocument/2006/relationships/hyperlink" Target="https://github.com/carlos-aular-ds/labo2025v/blob/pesos1-temp-08vcpu-128ram-20251115-141911/src/workflows/ex4-950_WorkFlow_01_senior.ipynb"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A55D3-E537-477C-8E07-7CED30FF867D}">
  <dimension ref="A1:AA35"/>
  <sheetViews>
    <sheetView tabSelected="1" zoomScale="110" zoomScaleNormal="110" workbookViewId="0">
      <pane xSplit="4" ySplit="2" topLeftCell="E3" activePane="bottomRight" state="frozen"/>
      <selection pane="topRight" activeCell="D1" sqref="D1"/>
      <selection pane="bottomLeft" activeCell="A3" sqref="A3"/>
      <selection pane="bottomRight" activeCell="D55" sqref="D55"/>
    </sheetView>
  </sheetViews>
  <sheetFormatPr defaultRowHeight="12.5" outlineLevelRow="1" outlineLevelCol="1"/>
  <cols>
    <col min="2" max="2" width="31.81640625" hidden="1" customWidth="1" outlineLevel="1"/>
    <col min="3" max="3" width="13.36328125" style="54" customWidth="1" collapsed="1"/>
    <col min="4" max="5" width="8.7265625" style="54"/>
    <col min="6" max="6" width="9.90625" style="54" customWidth="1"/>
    <col min="7" max="7" width="9.90625" style="54" hidden="1" customWidth="1" outlineLevel="1"/>
    <col min="8" max="8" width="9.90625" style="54" customWidth="1" collapsed="1"/>
    <col min="9" max="11" width="9.90625" style="54" customWidth="1"/>
    <col min="12" max="19" width="8.7265625" style="54"/>
    <col min="20" max="20" width="9.26953125" style="54" customWidth="1"/>
    <col min="21" max="22" width="8.7265625" style="54"/>
    <col min="23" max="26" width="0" hidden="1" customWidth="1" outlineLevel="1"/>
    <col min="27" max="27" width="8.7265625" collapsed="1"/>
  </cols>
  <sheetData>
    <row r="1" spans="1:26" ht="13">
      <c r="I1" s="62" t="s">
        <v>131</v>
      </c>
      <c r="J1" s="63"/>
      <c r="K1" s="71"/>
      <c r="L1" s="62" t="s">
        <v>123</v>
      </c>
      <c r="M1" s="63"/>
      <c r="N1" s="63"/>
      <c r="O1" s="63"/>
      <c r="P1" s="63"/>
      <c r="Q1" s="63"/>
      <c r="R1" s="63"/>
      <c r="S1" s="63"/>
      <c r="T1" s="63"/>
      <c r="U1" s="63"/>
      <c r="V1" s="71"/>
    </row>
    <row r="2" spans="1:26" s="7" customFormat="1" ht="26" customHeight="1">
      <c r="A2" s="60" t="s">
        <v>145</v>
      </c>
      <c r="B2" s="60" t="s">
        <v>136</v>
      </c>
      <c r="C2" s="61" t="s">
        <v>135</v>
      </c>
      <c r="D2" s="61" t="s">
        <v>140</v>
      </c>
      <c r="E2" s="61" t="s">
        <v>125</v>
      </c>
      <c r="F2" s="61" t="s">
        <v>75</v>
      </c>
      <c r="G2" s="61" t="s">
        <v>124</v>
      </c>
      <c r="H2" s="61" t="s">
        <v>137</v>
      </c>
      <c r="I2" s="64" t="s">
        <v>121</v>
      </c>
      <c r="J2" s="61" t="s">
        <v>138</v>
      </c>
      <c r="K2" s="72" t="s">
        <v>139</v>
      </c>
      <c r="L2" s="64">
        <v>800</v>
      </c>
      <c r="M2" s="61">
        <f>L2+50</f>
        <v>850</v>
      </c>
      <c r="N2" s="61">
        <f t="shared" ref="N2:V2" si="0">M2+50</f>
        <v>900</v>
      </c>
      <c r="O2" s="61">
        <f t="shared" si="0"/>
        <v>950</v>
      </c>
      <c r="P2" s="61">
        <f t="shared" si="0"/>
        <v>1000</v>
      </c>
      <c r="Q2" s="61">
        <f t="shared" si="0"/>
        <v>1050</v>
      </c>
      <c r="R2" s="61">
        <f t="shared" si="0"/>
        <v>1100</v>
      </c>
      <c r="S2" s="61">
        <f t="shared" si="0"/>
        <v>1150</v>
      </c>
      <c r="T2" s="61">
        <f t="shared" si="0"/>
        <v>1200</v>
      </c>
      <c r="U2" s="61">
        <f t="shared" si="0"/>
        <v>1250</v>
      </c>
      <c r="V2" s="72">
        <f t="shared" si="0"/>
        <v>1300</v>
      </c>
      <c r="W2" s="61" t="s">
        <v>141</v>
      </c>
      <c r="X2" s="78" t="s">
        <v>142</v>
      </c>
    </row>
    <row r="3" spans="1:26" outlineLevel="1">
      <c r="A3" t="s">
        <v>146</v>
      </c>
      <c r="B3" t="s">
        <v>75</v>
      </c>
      <c r="C3" s="54">
        <v>120539</v>
      </c>
      <c r="D3" s="54">
        <v>6801</v>
      </c>
      <c r="E3" s="54">
        <v>10</v>
      </c>
      <c r="F3" s="54">
        <v>1</v>
      </c>
      <c r="G3" s="54">
        <v>37</v>
      </c>
      <c r="H3" s="54">
        <v>0.03</v>
      </c>
      <c r="I3" s="65">
        <v>183</v>
      </c>
      <c r="J3" s="66">
        <v>2</v>
      </c>
      <c r="K3" s="73">
        <v>360</v>
      </c>
      <c r="L3" s="65">
        <v>3714</v>
      </c>
      <c r="M3" s="66">
        <v>3982</v>
      </c>
      <c r="N3" s="66">
        <v>3833</v>
      </c>
      <c r="O3" s="66">
        <v>4091</v>
      </c>
      <c r="P3" s="66">
        <v>4319</v>
      </c>
      <c r="Q3" s="66">
        <v>4190</v>
      </c>
      <c r="R3" s="66">
        <v>4031</v>
      </c>
      <c r="S3" s="66">
        <v>3912</v>
      </c>
      <c r="T3" s="66">
        <v>4111</v>
      </c>
      <c r="U3" s="66">
        <v>4379</v>
      </c>
      <c r="V3" s="73">
        <v>4230</v>
      </c>
    </row>
    <row r="4" spans="1:26" outlineLevel="1">
      <c r="A4" t="s">
        <v>146</v>
      </c>
      <c r="B4" t="s">
        <v>75</v>
      </c>
      <c r="C4" s="54">
        <v>120539</v>
      </c>
      <c r="D4" s="54">
        <v>6802</v>
      </c>
      <c r="E4" s="54">
        <v>10</v>
      </c>
      <c r="F4" s="54">
        <v>0.5</v>
      </c>
      <c r="G4" s="54">
        <v>15</v>
      </c>
      <c r="H4" s="54">
        <v>0.03</v>
      </c>
      <c r="I4" s="65">
        <v>212</v>
      </c>
      <c r="J4" s="66">
        <v>2</v>
      </c>
      <c r="K4" s="73">
        <v>762</v>
      </c>
      <c r="L4" s="65">
        <v>3644</v>
      </c>
      <c r="M4" s="66">
        <v>3902</v>
      </c>
      <c r="N4" s="66">
        <v>4558</v>
      </c>
      <c r="O4" s="66">
        <v>4409</v>
      </c>
      <c r="P4" s="66">
        <v>4200</v>
      </c>
      <c r="Q4" s="66">
        <v>4031</v>
      </c>
      <c r="R4" s="66">
        <v>4240</v>
      </c>
      <c r="S4" s="66">
        <v>4121</v>
      </c>
      <c r="T4" s="66">
        <v>3972</v>
      </c>
      <c r="U4" s="66">
        <v>3833</v>
      </c>
      <c r="V4" s="73">
        <v>4031</v>
      </c>
    </row>
    <row r="5" spans="1:26" outlineLevel="1">
      <c r="A5" t="s">
        <v>146</v>
      </c>
      <c r="B5" t="s">
        <v>75</v>
      </c>
      <c r="C5" s="54">
        <v>120539</v>
      </c>
      <c r="D5" s="54">
        <v>6803</v>
      </c>
      <c r="E5" s="54">
        <v>10</v>
      </c>
      <c r="F5" s="54">
        <v>0.3</v>
      </c>
      <c r="G5" s="54">
        <v>15</v>
      </c>
      <c r="H5" s="54">
        <v>0.03</v>
      </c>
      <c r="I5" s="65">
        <v>256</v>
      </c>
      <c r="J5" s="66">
        <v>2</v>
      </c>
      <c r="K5" s="73">
        <v>885</v>
      </c>
      <c r="L5" s="65">
        <v>3316</v>
      </c>
      <c r="M5" s="66">
        <v>3555</v>
      </c>
      <c r="N5" s="66">
        <v>3356</v>
      </c>
      <c r="O5" s="66">
        <v>3584</v>
      </c>
      <c r="P5" s="66">
        <v>3465</v>
      </c>
      <c r="Q5" s="66">
        <v>3336</v>
      </c>
      <c r="R5" s="66">
        <v>3922</v>
      </c>
      <c r="S5" s="66">
        <v>4170</v>
      </c>
      <c r="T5" s="66">
        <v>4488</v>
      </c>
      <c r="U5" s="66">
        <v>4379</v>
      </c>
      <c r="V5" s="73">
        <v>4210</v>
      </c>
    </row>
    <row r="6" spans="1:26" outlineLevel="1">
      <c r="A6" t="s">
        <v>146</v>
      </c>
      <c r="B6" t="s">
        <v>75</v>
      </c>
      <c r="C6" s="54">
        <v>120539</v>
      </c>
      <c r="D6" s="54">
        <v>6805</v>
      </c>
      <c r="E6" s="54">
        <v>10</v>
      </c>
      <c r="F6" s="55">
        <v>0.4</v>
      </c>
      <c r="G6" s="55">
        <v>24</v>
      </c>
      <c r="H6" s="55">
        <v>0.03</v>
      </c>
      <c r="I6" s="67">
        <v>256</v>
      </c>
      <c r="J6" s="68">
        <v>58</v>
      </c>
      <c r="K6" s="74">
        <v>664</v>
      </c>
      <c r="L6" s="67">
        <v>3932</v>
      </c>
      <c r="M6" s="68">
        <v>4200</v>
      </c>
      <c r="N6" s="68">
        <v>4856</v>
      </c>
      <c r="O6" s="68">
        <v>4707</v>
      </c>
      <c r="P6" s="68">
        <v>4597</v>
      </c>
      <c r="Q6" s="68">
        <v>4836</v>
      </c>
      <c r="R6" s="68">
        <v>4677</v>
      </c>
      <c r="S6" s="68">
        <v>4548</v>
      </c>
      <c r="T6" s="68">
        <v>4419</v>
      </c>
      <c r="U6" s="68">
        <v>4707</v>
      </c>
      <c r="V6" s="74">
        <v>4538</v>
      </c>
    </row>
    <row r="7" spans="1:26" s="56" customFormat="1" outlineLevel="1">
      <c r="A7" t="s">
        <v>146</v>
      </c>
      <c r="B7" t="s">
        <v>132</v>
      </c>
      <c r="C7" s="54">
        <v>120539</v>
      </c>
      <c r="D7" s="58">
        <v>6304</v>
      </c>
      <c r="E7" s="57">
        <v>10</v>
      </c>
      <c r="F7" s="54">
        <v>0.4</v>
      </c>
      <c r="G7" s="57">
        <v>9</v>
      </c>
      <c r="H7" s="54">
        <v>0.03</v>
      </c>
      <c r="I7" s="69">
        <v>178</v>
      </c>
      <c r="J7" s="70">
        <v>2</v>
      </c>
      <c r="K7" s="75">
        <v>185</v>
      </c>
      <c r="L7" s="69">
        <v>3743</v>
      </c>
      <c r="M7" s="70">
        <v>3992</v>
      </c>
      <c r="N7" s="70">
        <v>4260</v>
      </c>
      <c r="O7" s="70">
        <v>4538</v>
      </c>
      <c r="P7" s="70">
        <v>4379</v>
      </c>
      <c r="Q7" s="70">
        <v>4250</v>
      </c>
      <c r="R7" s="70">
        <v>4101</v>
      </c>
      <c r="S7" s="70">
        <v>4389</v>
      </c>
      <c r="T7" s="70">
        <v>4260</v>
      </c>
      <c r="U7" s="70">
        <v>4468</v>
      </c>
      <c r="V7" s="75">
        <v>4697</v>
      </c>
    </row>
    <row r="8" spans="1:26" outlineLevel="1">
      <c r="A8" t="s">
        <v>146</v>
      </c>
      <c r="B8" t="s">
        <v>132</v>
      </c>
      <c r="C8" s="54">
        <v>120539</v>
      </c>
      <c r="D8" s="54">
        <v>6306</v>
      </c>
      <c r="E8" s="54">
        <v>50</v>
      </c>
      <c r="F8" s="54">
        <v>0.4</v>
      </c>
      <c r="G8" s="54">
        <v>34</v>
      </c>
      <c r="H8" s="54">
        <v>0.03</v>
      </c>
      <c r="I8" s="65">
        <v>244</v>
      </c>
      <c r="J8" s="66">
        <v>2</v>
      </c>
      <c r="K8" s="73">
        <v>161</v>
      </c>
      <c r="L8" s="65">
        <v>4190</v>
      </c>
      <c r="M8" s="66">
        <v>4021</v>
      </c>
      <c r="N8" s="66">
        <v>4250</v>
      </c>
      <c r="O8" s="66">
        <v>4081</v>
      </c>
      <c r="P8" s="66">
        <v>4290</v>
      </c>
      <c r="Q8" s="66">
        <v>4150</v>
      </c>
      <c r="R8" s="66">
        <v>4021</v>
      </c>
      <c r="S8" s="66">
        <v>4270</v>
      </c>
      <c r="T8" s="66">
        <v>4111</v>
      </c>
      <c r="U8" s="66">
        <v>4002</v>
      </c>
      <c r="V8" s="73">
        <v>4290</v>
      </c>
    </row>
    <row r="9" spans="1:26" outlineLevel="1">
      <c r="A9" t="s">
        <v>146</v>
      </c>
      <c r="B9" t="s">
        <v>133</v>
      </c>
      <c r="C9" s="54">
        <v>120539</v>
      </c>
      <c r="D9" s="54">
        <v>6307</v>
      </c>
      <c r="E9" s="54">
        <v>50</v>
      </c>
      <c r="F9" s="54">
        <v>0.4</v>
      </c>
      <c r="H9" s="54">
        <v>8.5044120000000001E-2</v>
      </c>
      <c r="I9" s="65">
        <v>248</v>
      </c>
      <c r="J9" s="66">
        <v>281</v>
      </c>
      <c r="K9" s="73">
        <v>577</v>
      </c>
      <c r="L9" s="65">
        <v>2929</v>
      </c>
      <c r="M9" s="66">
        <v>2790</v>
      </c>
      <c r="N9" s="66">
        <v>2631</v>
      </c>
      <c r="O9" s="66">
        <v>2482</v>
      </c>
      <c r="P9" s="66">
        <v>2730</v>
      </c>
      <c r="Q9" s="66">
        <v>2532</v>
      </c>
      <c r="R9" s="66">
        <v>2452</v>
      </c>
      <c r="S9" s="66">
        <v>2284</v>
      </c>
      <c r="T9" s="66">
        <v>2154</v>
      </c>
      <c r="U9" s="66">
        <v>2015</v>
      </c>
      <c r="V9" s="73">
        <v>1837</v>
      </c>
    </row>
    <row r="10" spans="1:26" outlineLevel="1">
      <c r="A10" t="s">
        <v>147</v>
      </c>
      <c r="B10" t="s">
        <v>134</v>
      </c>
      <c r="C10" s="54">
        <v>120539</v>
      </c>
      <c r="D10" s="54">
        <v>6308</v>
      </c>
      <c r="E10" s="54">
        <v>50</v>
      </c>
      <c r="F10" s="54">
        <v>0.4</v>
      </c>
      <c r="H10" s="54">
        <v>0.03</v>
      </c>
      <c r="I10" s="65">
        <f>I13</f>
        <v>220</v>
      </c>
      <c r="J10" s="66">
        <f t="shared" ref="J10:V10" si="1">J13</f>
        <v>66</v>
      </c>
      <c r="K10" s="73">
        <f t="shared" si="1"/>
        <v>404</v>
      </c>
      <c r="L10" s="65">
        <f t="shared" si="1"/>
        <v>3406</v>
      </c>
      <c r="M10" s="66">
        <f t="shared" si="1"/>
        <v>3624</v>
      </c>
      <c r="N10" s="66">
        <f t="shared" si="1"/>
        <v>3853</v>
      </c>
      <c r="O10" s="66">
        <f t="shared" si="1"/>
        <v>4538</v>
      </c>
      <c r="P10" s="66">
        <f t="shared" si="1"/>
        <v>4429</v>
      </c>
      <c r="Q10" s="66">
        <f t="shared" si="1"/>
        <v>4290</v>
      </c>
      <c r="R10" s="66">
        <f t="shared" si="1"/>
        <v>4131</v>
      </c>
      <c r="S10" s="66">
        <f t="shared" si="1"/>
        <v>3982</v>
      </c>
      <c r="T10" s="66">
        <f t="shared" si="1"/>
        <v>3863</v>
      </c>
      <c r="U10" s="66">
        <f t="shared" si="1"/>
        <v>4091</v>
      </c>
      <c r="V10" s="73">
        <f t="shared" si="1"/>
        <v>3962</v>
      </c>
    </row>
    <row r="11" spans="1:26" outlineLevel="1"/>
    <row r="12" spans="1:26" ht="13" outlineLevel="1" thickBot="1">
      <c r="B12" s="59"/>
    </row>
    <row r="13" spans="1:26">
      <c r="A13" t="s">
        <v>147</v>
      </c>
      <c r="B13" t="str">
        <f>$B$10</f>
        <v>HP base. +lags 3 y 6.</v>
      </c>
      <c r="C13" s="55">
        <f>C10</f>
        <v>120539</v>
      </c>
      <c r="D13" s="76">
        <v>6308</v>
      </c>
      <c r="E13" s="54">
        <f>$E$10</f>
        <v>50</v>
      </c>
      <c r="F13" s="54">
        <f>$F$10</f>
        <v>0.4</v>
      </c>
      <c r="G13" s="54">
        <f t="shared" ref="G13" si="2">G10</f>
        <v>0</v>
      </c>
      <c r="H13" s="54">
        <f>$H$10</f>
        <v>0.03</v>
      </c>
      <c r="I13" s="65">
        <v>220</v>
      </c>
      <c r="J13" s="66">
        <v>66</v>
      </c>
      <c r="K13" s="73">
        <v>404</v>
      </c>
      <c r="L13" s="65">
        <v>3406</v>
      </c>
      <c r="M13" s="66">
        <v>3624</v>
      </c>
      <c r="N13" s="66">
        <v>3853</v>
      </c>
      <c r="O13" s="66">
        <v>4538</v>
      </c>
      <c r="P13" s="66">
        <v>4429</v>
      </c>
      <c r="Q13" s="66">
        <v>4290</v>
      </c>
      <c r="R13" s="66">
        <v>4131</v>
      </c>
      <c r="S13" s="84">
        <v>3982</v>
      </c>
      <c r="T13" s="66">
        <v>3863</v>
      </c>
      <c r="U13" s="66">
        <v>4091</v>
      </c>
      <c r="V13" s="73">
        <v>3962</v>
      </c>
      <c r="W13" s="79">
        <f>AVERAGE(L13:V13)</f>
        <v>4015.3636363636365</v>
      </c>
      <c r="X13" s="79">
        <f>_xlfn.STDEV.S(L13:V13)</f>
        <v>334.18386338280095</v>
      </c>
      <c r="Z13" s="93">
        <f>W13/X13</f>
        <v>12.015432450022631</v>
      </c>
    </row>
    <row r="14" spans="1:26">
      <c r="A14" t="s">
        <v>147</v>
      </c>
      <c r="B14" t="str">
        <f t="shared" ref="B14:B19" si="3">$B$10</f>
        <v>HP base. +lags 3 y 6.</v>
      </c>
      <c r="C14" s="55">
        <v>230431</v>
      </c>
      <c r="D14" s="55">
        <v>6809</v>
      </c>
      <c r="E14" s="54">
        <f t="shared" ref="E14:E19" si="4">$E$10</f>
        <v>50</v>
      </c>
      <c r="F14" s="54">
        <f t="shared" ref="F14:F19" si="5">$F$10</f>
        <v>0.4</v>
      </c>
      <c r="H14" s="54">
        <f t="shared" ref="H14:H19" si="6">$H$10</f>
        <v>0.03</v>
      </c>
      <c r="I14" s="65">
        <v>216</v>
      </c>
      <c r="J14" s="54">
        <v>2</v>
      </c>
      <c r="K14" s="54">
        <v>413</v>
      </c>
      <c r="L14" s="65">
        <v>2929</v>
      </c>
      <c r="M14" s="66">
        <v>3584</v>
      </c>
      <c r="N14" s="66">
        <v>4240</v>
      </c>
      <c r="O14" s="66">
        <v>4111</v>
      </c>
      <c r="P14" s="66">
        <v>4309</v>
      </c>
      <c r="Q14" s="66">
        <v>4955</v>
      </c>
      <c r="R14" s="66">
        <v>4865</v>
      </c>
      <c r="S14" s="85">
        <v>4736</v>
      </c>
      <c r="T14" s="66">
        <v>4607</v>
      </c>
      <c r="U14" s="66">
        <v>4458</v>
      </c>
      <c r="V14" s="73">
        <v>4319</v>
      </c>
      <c r="W14" s="79">
        <f t="shared" ref="W14:W19" si="7">AVERAGE(L14:V14)</f>
        <v>4283</v>
      </c>
      <c r="X14" s="79">
        <f t="shared" ref="X14:X19" si="8">_xlfn.STDEV.S(L14:V14)</f>
        <v>590.46083697396898</v>
      </c>
      <c r="Z14" s="93">
        <f t="shared" ref="Z14:Z19" si="9">W14/X14</f>
        <v>7.2536563507747429</v>
      </c>
    </row>
    <row r="15" spans="1:26">
      <c r="A15" t="s">
        <v>147</v>
      </c>
      <c r="B15" t="str">
        <f t="shared" si="3"/>
        <v>HP base. +lags 3 y 6.</v>
      </c>
      <c r="C15" s="90">
        <v>501317</v>
      </c>
      <c r="D15" s="55">
        <v>6810</v>
      </c>
      <c r="E15" s="54">
        <f t="shared" si="4"/>
        <v>50</v>
      </c>
      <c r="F15" s="54">
        <f t="shared" si="5"/>
        <v>0.4</v>
      </c>
      <c r="H15" s="54">
        <f t="shared" si="6"/>
        <v>0.03</v>
      </c>
      <c r="I15" s="65">
        <v>193</v>
      </c>
      <c r="J15" s="54">
        <v>133</v>
      </c>
      <c r="K15" s="54">
        <v>380</v>
      </c>
      <c r="L15" s="65">
        <v>4468</v>
      </c>
      <c r="M15" s="66">
        <v>4389</v>
      </c>
      <c r="N15" s="66">
        <v>4190</v>
      </c>
      <c r="O15" s="66">
        <v>4051</v>
      </c>
      <c r="P15" s="66">
        <v>4309</v>
      </c>
      <c r="Q15" s="66">
        <v>4200</v>
      </c>
      <c r="R15" s="66">
        <v>4101</v>
      </c>
      <c r="S15" s="85">
        <v>4359</v>
      </c>
      <c r="T15" s="66">
        <v>4180</v>
      </c>
      <c r="U15" s="66">
        <v>4438</v>
      </c>
      <c r="V15" s="73">
        <v>4280</v>
      </c>
      <c r="W15" s="79">
        <f t="shared" si="7"/>
        <v>4269.545454545455</v>
      </c>
      <c r="X15" s="79">
        <f t="shared" si="8"/>
        <v>136.76648978193717</v>
      </c>
      <c r="Z15" s="93">
        <f t="shared" si="9"/>
        <v>31.21777462705149</v>
      </c>
    </row>
    <row r="16" spans="1:26">
      <c r="A16" t="s">
        <v>147</v>
      </c>
      <c r="B16" t="str">
        <f t="shared" si="3"/>
        <v>HP base. +lags 3 y 6.</v>
      </c>
      <c r="C16" s="55">
        <v>761227</v>
      </c>
      <c r="D16" s="55">
        <v>6811</v>
      </c>
      <c r="E16" s="54">
        <f t="shared" si="4"/>
        <v>50</v>
      </c>
      <c r="F16" s="54">
        <f t="shared" si="5"/>
        <v>0.4</v>
      </c>
      <c r="H16" s="54">
        <f t="shared" si="6"/>
        <v>0.03</v>
      </c>
      <c r="I16" s="65">
        <v>241</v>
      </c>
      <c r="J16" s="54">
        <v>2</v>
      </c>
      <c r="K16" s="54">
        <v>776</v>
      </c>
      <c r="L16" s="65">
        <v>4518</v>
      </c>
      <c r="M16" s="66">
        <v>4409</v>
      </c>
      <c r="N16" s="66">
        <v>4657</v>
      </c>
      <c r="O16" s="66">
        <v>4518</v>
      </c>
      <c r="P16" s="66">
        <v>4379</v>
      </c>
      <c r="Q16" s="66">
        <v>4250</v>
      </c>
      <c r="R16" s="66">
        <v>4091</v>
      </c>
      <c r="S16" s="85">
        <v>3962</v>
      </c>
      <c r="T16" s="66">
        <v>3813</v>
      </c>
      <c r="U16" s="66">
        <v>3668</v>
      </c>
      <c r="V16" s="73">
        <v>3485</v>
      </c>
      <c r="W16" s="79">
        <f t="shared" si="7"/>
        <v>4159.090909090909</v>
      </c>
      <c r="X16" s="79">
        <f t="shared" si="8"/>
        <v>385.156190277517</v>
      </c>
      <c r="Z16" s="93">
        <f t="shared" si="9"/>
        <v>10.79845271627117</v>
      </c>
    </row>
    <row r="17" spans="1:26" ht="13" thickBot="1">
      <c r="A17" t="s">
        <v>147</v>
      </c>
      <c r="B17" t="str">
        <f t="shared" si="3"/>
        <v>HP base. +lags 3 y 6.</v>
      </c>
      <c r="C17" s="55">
        <v>960737</v>
      </c>
      <c r="D17" s="55">
        <v>6812</v>
      </c>
      <c r="E17" s="54">
        <f t="shared" si="4"/>
        <v>50</v>
      </c>
      <c r="F17" s="54">
        <f t="shared" si="5"/>
        <v>0.4</v>
      </c>
      <c r="H17" s="54">
        <f t="shared" si="6"/>
        <v>0.03</v>
      </c>
      <c r="I17" s="65">
        <v>234</v>
      </c>
      <c r="J17" s="54">
        <v>124</v>
      </c>
      <c r="K17" s="54">
        <v>687</v>
      </c>
      <c r="L17" s="65">
        <v>3406</v>
      </c>
      <c r="M17" s="66">
        <v>3257</v>
      </c>
      <c r="N17" s="66">
        <v>3495</v>
      </c>
      <c r="O17" s="66">
        <v>3346</v>
      </c>
      <c r="P17" s="66">
        <v>3207</v>
      </c>
      <c r="Q17" s="66">
        <v>3435</v>
      </c>
      <c r="R17" s="66">
        <v>3277</v>
      </c>
      <c r="S17" s="85">
        <v>3535</v>
      </c>
      <c r="T17" s="66">
        <v>3366</v>
      </c>
      <c r="U17" s="66">
        <v>3604</v>
      </c>
      <c r="V17" s="73">
        <v>3475</v>
      </c>
      <c r="W17" s="79">
        <f t="shared" si="7"/>
        <v>3400.2727272727275</v>
      </c>
      <c r="X17" s="79">
        <f t="shared" si="8"/>
        <v>123.55168222981902</v>
      </c>
      <c r="Z17" s="93">
        <f t="shared" si="9"/>
        <v>27.521055690264625</v>
      </c>
    </row>
    <row r="18" spans="1:26" ht="13.5" thickBot="1">
      <c r="A18" t="s">
        <v>147</v>
      </c>
      <c r="B18" t="str">
        <f t="shared" si="3"/>
        <v>HP base. +lags 3 y 6.</v>
      </c>
      <c r="C18" s="55">
        <v>330017</v>
      </c>
      <c r="D18" s="55">
        <v>6813</v>
      </c>
      <c r="E18" s="54">
        <f t="shared" si="4"/>
        <v>50</v>
      </c>
      <c r="F18" s="54">
        <f t="shared" si="5"/>
        <v>0.4</v>
      </c>
      <c r="H18" s="54">
        <f t="shared" si="6"/>
        <v>0.03</v>
      </c>
      <c r="I18" s="65">
        <v>200</v>
      </c>
      <c r="J18" s="54">
        <v>70</v>
      </c>
      <c r="K18" s="54">
        <v>216</v>
      </c>
      <c r="L18" s="65">
        <v>4131</v>
      </c>
      <c r="M18" s="66">
        <v>4002</v>
      </c>
      <c r="N18" s="66">
        <v>3863</v>
      </c>
      <c r="O18" s="66">
        <v>3714</v>
      </c>
      <c r="P18" s="66">
        <v>3555</v>
      </c>
      <c r="Q18" s="66">
        <v>3803</v>
      </c>
      <c r="R18" s="66">
        <v>4458</v>
      </c>
      <c r="S18" s="102">
        <v>4299</v>
      </c>
      <c r="T18" s="66">
        <v>4955</v>
      </c>
      <c r="U18" s="66">
        <v>4836</v>
      </c>
      <c r="V18" s="73">
        <v>4726</v>
      </c>
      <c r="W18" s="79">
        <f t="shared" si="7"/>
        <v>4212.909090909091</v>
      </c>
      <c r="X18" s="79">
        <f t="shared" si="8"/>
        <v>478.86249687054283</v>
      </c>
      <c r="Z18" s="93">
        <f t="shared" si="9"/>
        <v>8.79774281435955</v>
      </c>
    </row>
    <row r="19" spans="1:26">
      <c r="A19" t="s">
        <v>147</v>
      </c>
      <c r="B19" t="str">
        <f t="shared" si="3"/>
        <v>HP base. +lags 3 y 6.</v>
      </c>
      <c r="C19" s="55">
        <v>819509</v>
      </c>
      <c r="D19" s="55">
        <v>6814</v>
      </c>
      <c r="E19" s="54">
        <f t="shared" si="4"/>
        <v>50</v>
      </c>
      <c r="F19" s="54">
        <f t="shared" si="5"/>
        <v>0.4</v>
      </c>
      <c r="H19" s="54">
        <f t="shared" si="6"/>
        <v>0.03</v>
      </c>
      <c r="I19" s="65">
        <v>256</v>
      </c>
      <c r="J19" s="54">
        <v>2</v>
      </c>
      <c r="K19" s="54">
        <v>550</v>
      </c>
      <c r="L19" s="65">
        <v>3396</v>
      </c>
      <c r="M19" s="66">
        <v>3247</v>
      </c>
      <c r="N19" s="66">
        <v>3098</v>
      </c>
      <c r="O19" s="66">
        <v>2959</v>
      </c>
      <c r="P19" s="66">
        <v>2840</v>
      </c>
      <c r="Q19" s="66">
        <v>3485</v>
      </c>
      <c r="R19" s="66">
        <v>4558</v>
      </c>
      <c r="S19" s="85">
        <v>4399</v>
      </c>
      <c r="T19" s="66">
        <v>4260</v>
      </c>
      <c r="U19" s="66">
        <v>4498</v>
      </c>
      <c r="V19" s="73">
        <v>4329</v>
      </c>
      <c r="W19" s="79">
        <f t="shared" ref="W19" si="10">AVERAGE(L19:V19)</f>
        <v>3733.5454545454545</v>
      </c>
      <c r="X19" s="79">
        <f t="shared" ref="X19" si="11">_xlfn.STDEV.S(L19:V19)</f>
        <v>674.78639044313263</v>
      </c>
      <c r="Z19" s="93">
        <f t="shared" si="9"/>
        <v>5.5329293942837721</v>
      </c>
    </row>
    <row r="20" spans="1:26">
      <c r="I20" s="66"/>
      <c r="L20" s="65"/>
      <c r="M20" s="66"/>
      <c r="N20" s="66"/>
      <c r="O20" s="66"/>
      <c r="P20" s="66"/>
      <c r="Q20" s="66"/>
      <c r="R20" s="66"/>
      <c r="S20" s="85"/>
      <c r="T20" s="66"/>
      <c r="U20" s="66"/>
      <c r="V20" s="73"/>
      <c r="W20" s="79"/>
      <c r="X20" s="79"/>
    </row>
    <row r="21" spans="1:26" ht="13">
      <c r="K21" s="77" t="s">
        <v>141</v>
      </c>
      <c r="L21" s="80">
        <f>AVERAGE(L13:L19)</f>
        <v>3750.5714285714284</v>
      </c>
      <c r="M21" s="81">
        <f>AVERAGE(M13:M19)</f>
        <v>3787.4285714285716</v>
      </c>
      <c r="N21" s="81">
        <f>AVERAGE(N13:N19)</f>
        <v>3913.7142857142858</v>
      </c>
      <c r="O21" s="81">
        <f>AVERAGE(O13:O19)</f>
        <v>3891</v>
      </c>
      <c r="P21" s="81">
        <f>AVERAGE(P13:P19)</f>
        <v>3861.1428571428573</v>
      </c>
      <c r="Q21" s="81">
        <f>AVERAGE(Q13:Q19)</f>
        <v>4059.7142857142858</v>
      </c>
      <c r="R21" s="81">
        <f>AVERAGE(R13:R19)</f>
        <v>4211.5714285714284</v>
      </c>
      <c r="S21" s="86">
        <f>AVERAGE(S13:S19)</f>
        <v>4181.7142857142853</v>
      </c>
      <c r="T21" s="81">
        <f>AVERAGE(T13:T19)</f>
        <v>4149.1428571428569</v>
      </c>
      <c r="U21" s="81">
        <f>AVERAGE(U13:U19)</f>
        <v>4227.5714285714284</v>
      </c>
      <c r="V21" s="82">
        <f>AVERAGE(V13:V19)</f>
        <v>4082.2857142857142</v>
      </c>
    </row>
    <row r="22" spans="1:26" ht="13">
      <c r="K22" s="77" t="s">
        <v>142</v>
      </c>
      <c r="L22" s="80">
        <f>_xlfn.STDEV.S(L13:L18)</f>
        <v>654.19589319000295</v>
      </c>
      <c r="M22" s="81">
        <f t="shared" ref="M22:V22" si="12">_xlfn.STDEV.S(M13:M18)</f>
        <v>467.9849356549845</v>
      </c>
      <c r="N22" s="81">
        <f t="shared" si="12"/>
        <v>401.48507651800293</v>
      </c>
      <c r="O22" s="81">
        <f t="shared" si="12"/>
        <v>462.45461038534978</v>
      </c>
      <c r="P22" s="81">
        <f t="shared" si="12"/>
        <v>517.61517236907355</v>
      </c>
      <c r="Q22" s="81">
        <f t="shared" si="12"/>
        <v>512.16745308541419</v>
      </c>
      <c r="R22" s="81">
        <f t="shared" si="12"/>
        <v>524.28481445361899</v>
      </c>
      <c r="S22" s="86">
        <f t="shared" si="12"/>
        <v>412.54078586244049</v>
      </c>
      <c r="T22" s="81">
        <f t="shared" si="12"/>
        <v>577.25649989122314</v>
      </c>
      <c r="U22" s="81">
        <f t="shared" si="12"/>
        <v>484.97164865587763</v>
      </c>
      <c r="V22" s="82">
        <f t="shared" si="12"/>
        <v>497.86802133363182</v>
      </c>
    </row>
    <row r="23" spans="1:26">
      <c r="S23" s="85"/>
    </row>
    <row r="24" spans="1:26" ht="13.5" thickBot="1">
      <c r="K24" s="77" t="s">
        <v>281</v>
      </c>
      <c r="L24" s="83">
        <f>L21/L22</f>
        <v>5.7331014572451959</v>
      </c>
      <c r="M24" s="83">
        <f t="shared" ref="M24:V24" si="13">M21/M22</f>
        <v>8.0930565983448695</v>
      </c>
      <c r="N24" s="83">
        <f t="shared" si="13"/>
        <v>9.7480940503620221</v>
      </c>
      <c r="O24" s="83">
        <f t="shared" si="13"/>
        <v>8.4137987007151782</v>
      </c>
      <c r="P24" s="83">
        <f t="shared" si="13"/>
        <v>7.4594854696217414</v>
      </c>
      <c r="Q24" s="83">
        <f t="shared" si="13"/>
        <v>7.9265370363884626</v>
      </c>
      <c r="R24" s="83">
        <f t="shared" si="13"/>
        <v>8.0329838142661032</v>
      </c>
      <c r="S24" s="87">
        <f t="shared" si="13"/>
        <v>10.136486934188019</v>
      </c>
      <c r="T24" s="83">
        <f t="shared" si="13"/>
        <v>7.1876936126742823</v>
      </c>
      <c r="U24" s="83">
        <f t="shared" si="13"/>
        <v>8.717151693894575</v>
      </c>
      <c r="V24" s="83">
        <f t="shared" si="13"/>
        <v>8.1995338912319671</v>
      </c>
    </row>
    <row r="28" spans="1:26">
      <c r="T28" s="88" t="s">
        <v>143</v>
      </c>
      <c r="U28" s="88" t="s">
        <v>144</v>
      </c>
    </row>
    <row r="29" spans="1:26">
      <c r="T29" s="54">
        <f>S13</f>
        <v>3982</v>
      </c>
      <c r="U29" s="89">
        <f>ABS(T29-$S$21)</f>
        <v>199.71428571428532</v>
      </c>
    </row>
    <row r="30" spans="1:26">
      <c r="T30" s="54">
        <f t="shared" ref="T30:T35" si="14">S14</f>
        <v>4736</v>
      </c>
      <c r="U30" s="89">
        <f t="shared" ref="U30:U35" si="15">ABS(T30-$S$21)</f>
        <v>554.28571428571468</v>
      </c>
    </row>
    <row r="31" spans="1:26">
      <c r="T31" s="54">
        <f t="shared" si="14"/>
        <v>4359</v>
      </c>
      <c r="U31" s="89">
        <f t="shared" si="15"/>
        <v>177.28571428571468</v>
      </c>
    </row>
    <row r="32" spans="1:26">
      <c r="T32" s="54">
        <f t="shared" si="14"/>
        <v>3962</v>
      </c>
      <c r="U32" s="89">
        <f t="shared" si="15"/>
        <v>219.71428571428532</v>
      </c>
    </row>
    <row r="33" spans="20:21" ht="13" thickBot="1">
      <c r="T33" s="54">
        <f t="shared" si="14"/>
        <v>3535</v>
      </c>
      <c r="U33" s="89">
        <f t="shared" si="15"/>
        <v>646.71428571428532</v>
      </c>
    </row>
    <row r="34" spans="20:21" ht="13" thickBot="1">
      <c r="T34" s="91">
        <f t="shared" si="14"/>
        <v>4299</v>
      </c>
      <c r="U34" s="92">
        <f t="shared" si="15"/>
        <v>117.28571428571468</v>
      </c>
    </row>
    <row r="35" spans="20:21">
      <c r="T35" s="54">
        <f t="shared" si="14"/>
        <v>4399</v>
      </c>
      <c r="U35" s="89">
        <f t="shared" si="15"/>
        <v>217.28571428571468</v>
      </c>
    </row>
  </sheetData>
  <mergeCells count="2">
    <mergeCell ref="L1:V1"/>
    <mergeCell ref="I1:K1"/>
  </mergeCells>
  <conditionalFormatting sqref="L21:V21">
    <cfRule type="top10" dxfId="17" priority="7" rank="1"/>
  </conditionalFormatting>
  <conditionalFormatting sqref="W13:W20">
    <cfRule type="top10" dxfId="16" priority="6" rank="1"/>
  </conditionalFormatting>
  <conditionalFormatting sqref="L22:V22">
    <cfRule type="top10" dxfId="15" priority="5" bottom="1" rank="1"/>
  </conditionalFormatting>
  <conditionalFormatting sqref="X13:X20">
    <cfRule type="top10" dxfId="14" priority="4" bottom="1" rank="1"/>
  </conditionalFormatting>
  <conditionalFormatting sqref="L24:V24">
    <cfRule type="colorScale" priority="2">
      <colorScale>
        <cfvo type="min"/>
        <cfvo type="max"/>
        <color rgb="FFFCFCFF"/>
        <color rgb="FF63BE7B"/>
      </colorScale>
    </cfRule>
  </conditionalFormatting>
  <conditionalFormatting sqref="U29:U35">
    <cfRule type="colorScale" priority="1">
      <colorScale>
        <cfvo type="min"/>
        <cfvo type="max"/>
        <color rgb="FF63BE7B"/>
        <color rgb="FFFCFCFF"/>
      </colorScale>
    </cfRule>
  </conditionalFormatting>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96F33-8EC3-4591-9AA5-E8B720F63F01}">
  <dimension ref="A3:H25"/>
  <sheetViews>
    <sheetView workbookViewId="0">
      <selection activeCell="C21" sqref="C21"/>
    </sheetView>
  </sheetViews>
  <sheetFormatPr defaultRowHeight="12.5"/>
  <cols>
    <col min="1" max="1" width="11.6328125" customWidth="1"/>
    <col min="2" max="2" width="13.6328125" style="49" customWidth="1"/>
    <col min="3" max="3" width="9.08984375" style="49" customWidth="1"/>
    <col min="4" max="4" width="6.6328125" style="49" customWidth="1"/>
    <col min="5" max="5" width="21.453125" customWidth="1"/>
    <col min="6" max="6" width="57.54296875" style="49" customWidth="1"/>
    <col min="7" max="7" width="7.7265625" customWidth="1"/>
    <col min="8" max="8" width="38.54296875" bestFit="1" customWidth="1"/>
  </cols>
  <sheetData>
    <row r="3" spans="1:8" s="8" customFormat="1" ht="29" customHeight="1">
      <c r="A3" s="48" t="s">
        <v>91</v>
      </c>
      <c r="B3" s="47" t="s">
        <v>118</v>
      </c>
      <c r="C3" s="48" t="s">
        <v>92</v>
      </c>
      <c r="D3" s="48" t="s">
        <v>114</v>
      </c>
      <c r="E3" s="48" t="s">
        <v>25</v>
      </c>
      <c r="F3" s="48" t="s">
        <v>1</v>
      </c>
      <c r="G3" s="50" t="s">
        <v>115</v>
      </c>
      <c r="H3" s="48" t="s">
        <v>93</v>
      </c>
    </row>
    <row r="4" spans="1:8" ht="14" customHeight="1">
      <c r="A4" s="56" t="s">
        <v>95</v>
      </c>
      <c r="B4" s="56" t="s">
        <v>119</v>
      </c>
      <c r="C4" s="54" t="s">
        <v>96</v>
      </c>
      <c r="D4">
        <v>1</v>
      </c>
      <c r="E4" t="s">
        <v>26</v>
      </c>
      <c r="F4" t="s">
        <v>27</v>
      </c>
      <c r="G4" t="s">
        <v>9</v>
      </c>
      <c r="H4" t="s">
        <v>126</v>
      </c>
    </row>
    <row r="5" spans="1:8" ht="14" customHeight="1">
      <c r="A5" s="56"/>
      <c r="B5" s="56"/>
      <c r="C5" s="54"/>
      <c r="D5" s="54">
        <v>7</v>
      </c>
      <c r="E5" t="s">
        <v>59</v>
      </c>
      <c r="F5" t="s">
        <v>60</v>
      </c>
      <c r="G5" s="54" t="s">
        <v>44</v>
      </c>
      <c r="H5" t="s">
        <v>105</v>
      </c>
    </row>
    <row r="6" spans="1:8" ht="14" customHeight="1">
      <c r="A6" s="56"/>
      <c r="B6" s="56"/>
      <c r="C6" s="54"/>
      <c r="D6" s="54">
        <v>12</v>
      </c>
      <c r="E6" t="s">
        <v>67</v>
      </c>
      <c r="F6" t="s">
        <v>78</v>
      </c>
      <c r="G6" s="54" t="s">
        <v>6</v>
      </c>
      <c r="H6" t="s">
        <v>104</v>
      </c>
    </row>
    <row r="7" spans="1:8" ht="14" customHeight="1">
      <c r="A7" s="56"/>
      <c r="B7" s="56"/>
      <c r="C7" s="54"/>
      <c r="D7" s="54">
        <v>13</v>
      </c>
      <c r="E7" t="s">
        <v>40</v>
      </c>
      <c r="F7" t="s">
        <v>79</v>
      </c>
      <c r="G7" s="54" t="s">
        <v>44</v>
      </c>
      <c r="H7" t="s">
        <v>105</v>
      </c>
    </row>
    <row r="8" spans="1:8" ht="14" customHeight="1">
      <c r="A8" s="56"/>
      <c r="B8" s="56"/>
      <c r="C8" s="54"/>
      <c r="D8" s="54">
        <v>14</v>
      </c>
      <c r="E8" t="s">
        <v>67</v>
      </c>
      <c r="F8" t="s">
        <v>18</v>
      </c>
      <c r="G8" t="s">
        <v>44</v>
      </c>
      <c r="H8" t="s">
        <v>106</v>
      </c>
    </row>
    <row r="9" spans="1:8" ht="14" customHeight="1">
      <c r="A9" s="56"/>
      <c r="B9" s="56"/>
      <c r="C9" s="54"/>
      <c r="D9" s="54">
        <v>17</v>
      </c>
      <c r="E9" t="s">
        <v>59</v>
      </c>
      <c r="F9" t="s">
        <v>85</v>
      </c>
      <c r="G9" t="s">
        <v>44</v>
      </c>
      <c r="H9" t="s">
        <v>105</v>
      </c>
    </row>
    <row r="10" spans="1:8" ht="14" customHeight="1">
      <c r="A10" s="56"/>
      <c r="B10" s="56"/>
      <c r="C10" s="54"/>
      <c r="D10" s="54">
        <v>18</v>
      </c>
      <c r="E10" t="s">
        <v>86</v>
      </c>
      <c r="F10" t="s">
        <v>116</v>
      </c>
      <c r="G10" s="54" t="s">
        <v>6</v>
      </c>
      <c r="H10" t="s">
        <v>113</v>
      </c>
    </row>
    <row r="11" spans="1:8" ht="14" customHeight="1">
      <c r="A11" s="56"/>
      <c r="B11" s="56"/>
      <c r="C11" s="57" t="s">
        <v>95</v>
      </c>
      <c r="D11" s="57">
        <v>2</v>
      </c>
      <c r="E11" s="56" t="s">
        <v>35</v>
      </c>
      <c r="F11" s="56" t="s">
        <v>36</v>
      </c>
      <c r="G11" s="56" t="s">
        <v>6</v>
      </c>
      <c r="H11" s="56" t="s">
        <v>97</v>
      </c>
    </row>
    <row r="12" spans="1:8" ht="14" customHeight="1">
      <c r="A12" s="56"/>
      <c r="B12" s="56"/>
      <c r="C12" s="57"/>
      <c r="D12" s="57">
        <v>3</v>
      </c>
      <c r="E12" s="56" t="s">
        <v>40</v>
      </c>
      <c r="F12" s="56" t="s">
        <v>39</v>
      </c>
      <c r="G12" t="s">
        <v>6</v>
      </c>
      <c r="H12" s="56" t="s">
        <v>98</v>
      </c>
    </row>
    <row r="13" spans="1:8" ht="14" customHeight="1">
      <c r="A13" s="56"/>
      <c r="B13" s="56"/>
      <c r="C13" s="57"/>
      <c r="D13">
        <v>5</v>
      </c>
      <c r="E13" t="s">
        <v>40</v>
      </c>
      <c r="F13" t="s">
        <v>48</v>
      </c>
      <c r="G13" t="s">
        <v>6</v>
      </c>
      <c r="H13" t="s">
        <v>148</v>
      </c>
    </row>
    <row r="14" spans="1:8" ht="14" customHeight="1">
      <c r="A14" s="56"/>
      <c r="B14" s="56"/>
      <c r="C14" s="57"/>
      <c r="D14" s="54">
        <v>9</v>
      </c>
      <c r="E14" t="s">
        <v>67</v>
      </c>
      <c r="F14" t="s">
        <v>12</v>
      </c>
      <c r="G14" s="54" t="s">
        <v>9</v>
      </c>
      <c r="H14" t="s">
        <v>99</v>
      </c>
    </row>
    <row r="15" spans="1:8" ht="14" customHeight="1">
      <c r="A15" s="56"/>
      <c r="B15" s="56"/>
      <c r="C15" s="57"/>
      <c r="D15" s="57">
        <v>11</v>
      </c>
      <c r="E15" s="56" t="s">
        <v>75</v>
      </c>
      <c r="F15" s="56" t="s">
        <v>15</v>
      </c>
      <c r="G15" s="54" t="s">
        <v>6</v>
      </c>
      <c r="H15" s="56" t="s">
        <v>100</v>
      </c>
    </row>
    <row r="16" spans="1:8" ht="14" customHeight="1">
      <c r="A16" s="56"/>
      <c r="B16" s="56"/>
      <c r="C16" s="57"/>
      <c r="D16" s="57">
        <v>16</v>
      </c>
      <c r="E16" s="56" t="s">
        <v>59</v>
      </c>
      <c r="F16" s="56" t="s">
        <v>84</v>
      </c>
      <c r="G16" s="57" t="s">
        <v>44</v>
      </c>
      <c r="H16" s="56" t="s">
        <v>110</v>
      </c>
    </row>
    <row r="17" customFormat="1" ht="14" customHeight="1"/>
    <row r="18" customFormat="1" ht="14" customHeight="1"/>
    <row r="19" customFormat="1"/>
    <row r="20" customFormat="1"/>
    <row r="21" customFormat="1"/>
    <row r="22" customFormat="1"/>
    <row r="23" customFormat="1"/>
    <row r="24" customFormat="1"/>
    <row r="25" customForma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24"/>
  <sheetViews>
    <sheetView zoomScale="90" zoomScaleNormal="90" workbookViewId="0">
      <pane xSplit="1" ySplit="1" topLeftCell="B2" activePane="bottomRight" state="frozen"/>
      <selection pane="topRight" activeCell="B1" sqref="B1"/>
      <selection pane="bottomLeft" activeCell="A2" sqref="A2"/>
      <selection pane="bottomRight" activeCell="K25" sqref="K25"/>
    </sheetView>
  </sheetViews>
  <sheetFormatPr defaultColWidth="12.6328125" defaultRowHeight="15.75" customHeight="1"/>
  <cols>
    <col min="1" max="1" width="13.6328125" style="8" customWidth="1"/>
    <col min="2" max="2" width="11.26953125" style="8" customWidth="1"/>
    <col min="3" max="3" width="18.54296875" style="14" customWidth="1"/>
    <col min="4" max="4" width="47.90625" style="12" customWidth="1"/>
    <col min="5" max="5" width="13.90625" style="7" customWidth="1"/>
    <col min="6" max="6" width="79.453125" style="12" customWidth="1"/>
    <col min="7" max="8" width="15.453125" style="12" customWidth="1"/>
    <col min="9" max="9" width="11.90625" style="12" customWidth="1"/>
    <col min="10" max="10" width="18.453125" style="12" customWidth="1"/>
    <col min="11" max="11" width="10.54296875" style="8" customWidth="1"/>
    <col min="12" max="12" width="76.453125" style="7" customWidth="1"/>
    <col min="13" max="16384" width="12.6328125" style="3"/>
  </cols>
  <sheetData>
    <row r="1" spans="1:12" ht="34.5" customHeight="1">
      <c r="A1" s="6" t="s">
        <v>0</v>
      </c>
      <c r="B1" s="6" t="s">
        <v>2</v>
      </c>
      <c r="C1" s="10" t="s">
        <v>25</v>
      </c>
      <c r="D1" s="10" t="s">
        <v>1</v>
      </c>
      <c r="E1" s="6" t="s">
        <v>3</v>
      </c>
      <c r="F1" s="10" t="s">
        <v>4</v>
      </c>
      <c r="G1" s="10" t="s">
        <v>91</v>
      </c>
      <c r="H1" s="10" t="s">
        <v>94</v>
      </c>
      <c r="I1" s="10" t="s">
        <v>92</v>
      </c>
      <c r="J1" s="10" t="s">
        <v>93</v>
      </c>
      <c r="K1" s="6" t="s">
        <v>118</v>
      </c>
      <c r="L1" s="6" t="s">
        <v>5</v>
      </c>
    </row>
    <row r="2" spans="1:12" s="17" customFormat="1" ht="50">
      <c r="A2" s="16">
        <v>1</v>
      </c>
      <c r="B2" s="16" t="s">
        <v>6</v>
      </c>
      <c r="C2" s="16" t="s">
        <v>26</v>
      </c>
      <c r="D2" s="15" t="s">
        <v>27</v>
      </c>
      <c r="E2" s="16" t="s">
        <v>28</v>
      </c>
      <c r="F2" s="20" t="s">
        <v>31</v>
      </c>
      <c r="G2" s="20" t="s">
        <v>96</v>
      </c>
      <c r="H2" s="20" t="s">
        <v>96</v>
      </c>
      <c r="I2" s="20" t="s">
        <v>96</v>
      </c>
      <c r="J2" s="20" t="s">
        <v>126</v>
      </c>
      <c r="K2" s="18" t="s">
        <v>119</v>
      </c>
      <c r="L2" s="19" t="s">
        <v>33</v>
      </c>
    </row>
    <row r="3" spans="1:12" s="17" customFormat="1" ht="25">
      <c r="A3" s="16">
        <v>1</v>
      </c>
      <c r="B3" s="16" t="s">
        <v>9</v>
      </c>
      <c r="C3" s="16" t="s">
        <v>26</v>
      </c>
      <c r="D3" s="15" t="s">
        <v>27</v>
      </c>
      <c r="E3" s="16" t="s">
        <v>29</v>
      </c>
      <c r="F3" s="15" t="s">
        <v>32</v>
      </c>
      <c r="G3" s="15" t="s">
        <v>95</v>
      </c>
      <c r="H3" s="15" t="s">
        <v>96</v>
      </c>
      <c r="I3" s="15" t="s">
        <v>96</v>
      </c>
      <c r="J3" s="20" t="s">
        <v>126</v>
      </c>
      <c r="K3" s="16" t="s">
        <v>119</v>
      </c>
      <c r="L3" s="19" t="s">
        <v>30</v>
      </c>
    </row>
    <row r="4" spans="1:12" s="17" customFormat="1" ht="29" customHeight="1">
      <c r="A4" s="30">
        <v>2</v>
      </c>
      <c r="B4" s="30" t="s">
        <v>6</v>
      </c>
      <c r="C4" s="30" t="s">
        <v>35</v>
      </c>
      <c r="D4" s="31" t="s">
        <v>36</v>
      </c>
      <c r="E4" s="32" t="s">
        <v>34</v>
      </c>
      <c r="F4" s="31" t="s">
        <v>37</v>
      </c>
      <c r="G4" s="31" t="s">
        <v>95</v>
      </c>
      <c r="H4" s="31" t="s">
        <v>95</v>
      </c>
      <c r="I4" s="31" t="s">
        <v>95</v>
      </c>
      <c r="J4" s="31" t="s">
        <v>97</v>
      </c>
      <c r="K4" s="30" t="s">
        <v>119</v>
      </c>
      <c r="L4" s="22" t="s">
        <v>38</v>
      </c>
    </row>
    <row r="5" spans="1:12" ht="50">
      <c r="A5" s="24">
        <v>3</v>
      </c>
      <c r="B5" s="25" t="s">
        <v>6</v>
      </c>
      <c r="C5" s="26" t="s">
        <v>40</v>
      </c>
      <c r="D5" s="27" t="s">
        <v>39</v>
      </c>
      <c r="E5" s="28" t="s">
        <v>41</v>
      </c>
      <c r="F5" s="27" t="s">
        <v>7</v>
      </c>
      <c r="G5" s="27" t="s">
        <v>95</v>
      </c>
      <c r="H5" s="27" t="s">
        <v>96</v>
      </c>
      <c r="I5" s="27" t="s">
        <v>95</v>
      </c>
      <c r="J5" s="27" t="s">
        <v>98</v>
      </c>
      <c r="K5" s="26" t="s">
        <v>119</v>
      </c>
      <c r="L5" s="29" t="s">
        <v>8</v>
      </c>
    </row>
    <row r="6" spans="1:12" ht="37.5">
      <c r="A6" s="8">
        <v>3</v>
      </c>
      <c r="B6" s="1" t="s">
        <v>9</v>
      </c>
      <c r="C6" s="13" t="s">
        <v>40</v>
      </c>
      <c r="D6" s="9" t="s">
        <v>39</v>
      </c>
      <c r="E6" s="2" t="s">
        <v>42</v>
      </c>
      <c r="F6" s="9" t="s">
        <v>10</v>
      </c>
      <c r="G6" s="9" t="s">
        <v>96</v>
      </c>
      <c r="H6" s="9" t="s">
        <v>96</v>
      </c>
      <c r="I6" s="9" t="s">
        <v>96</v>
      </c>
      <c r="J6" s="9"/>
      <c r="K6" s="1" t="s">
        <v>120</v>
      </c>
      <c r="L6" s="23" t="s">
        <v>43</v>
      </c>
    </row>
    <row r="7" spans="1:12" ht="51" customHeight="1">
      <c r="A7" s="1">
        <v>4</v>
      </c>
      <c r="B7" s="13" t="s">
        <v>44</v>
      </c>
      <c r="C7" s="13" t="s">
        <v>40</v>
      </c>
      <c r="D7" s="9" t="s">
        <v>45</v>
      </c>
      <c r="E7" s="2" t="s">
        <v>46</v>
      </c>
      <c r="F7" s="21" t="s">
        <v>47</v>
      </c>
      <c r="G7" s="21" t="s">
        <v>96</v>
      </c>
      <c r="H7" s="21"/>
      <c r="I7" s="21"/>
      <c r="J7" s="21"/>
      <c r="K7" s="51" t="s">
        <v>120</v>
      </c>
      <c r="L7" s="5" t="s">
        <v>11</v>
      </c>
    </row>
    <row r="8" spans="1:12" ht="55" customHeight="1">
      <c r="A8" s="1">
        <v>5</v>
      </c>
      <c r="B8" s="33" t="s">
        <v>6</v>
      </c>
      <c r="C8" s="33" t="s">
        <v>40</v>
      </c>
      <c r="D8" s="34" t="s">
        <v>48</v>
      </c>
      <c r="E8" s="35" t="s">
        <v>49</v>
      </c>
      <c r="F8" s="34" t="s">
        <v>52</v>
      </c>
      <c r="G8" s="34" t="s">
        <v>95</v>
      </c>
      <c r="H8" s="34"/>
      <c r="I8" s="34" t="s">
        <v>95</v>
      </c>
      <c r="J8" s="34" t="s">
        <v>148</v>
      </c>
      <c r="K8" s="52" t="s">
        <v>119</v>
      </c>
      <c r="L8" s="36" t="s">
        <v>51</v>
      </c>
    </row>
    <row r="9" spans="1:12" ht="37.5">
      <c r="A9" s="1">
        <v>5</v>
      </c>
      <c r="B9" s="33" t="s">
        <v>9</v>
      </c>
      <c r="C9" s="33" t="s">
        <v>40</v>
      </c>
      <c r="D9" s="34" t="s">
        <v>48</v>
      </c>
      <c r="E9" s="35" t="s">
        <v>50</v>
      </c>
      <c r="F9" s="37" t="s">
        <v>53</v>
      </c>
      <c r="G9" s="37" t="s">
        <v>96</v>
      </c>
      <c r="H9" s="37"/>
      <c r="I9" s="37" t="s">
        <v>95</v>
      </c>
      <c r="J9" s="37" t="s">
        <v>117</v>
      </c>
      <c r="K9" s="53" t="s">
        <v>120</v>
      </c>
      <c r="L9" s="38" t="s">
        <v>54</v>
      </c>
    </row>
    <row r="10" spans="1:12" ht="30.5" customHeight="1">
      <c r="A10" s="1">
        <v>6</v>
      </c>
      <c r="B10" s="33" t="s">
        <v>56</v>
      </c>
      <c r="C10" s="33" t="s">
        <v>40</v>
      </c>
      <c r="D10" s="9" t="s">
        <v>55</v>
      </c>
      <c r="E10" s="35" t="s">
        <v>58</v>
      </c>
      <c r="F10" s="37" t="s">
        <v>57</v>
      </c>
      <c r="G10" s="37" t="s">
        <v>96</v>
      </c>
      <c r="H10" s="37"/>
      <c r="I10" s="37"/>
      <c r="J10" s="37"/>
      <c r="K10" s="53" t="s">
        <v>120</v>
      </c>
      <c r="L10" s="39"/>
    </row>
    <row r="11" spans="1:12" ht="62.5">
      <c r="A11" s="1">
        <v>7</v>
      </c>
      <c r="B11" s="13" t="s">
        <v>56</v>
      </c>
      <c r="C11" s="13" t="s">
        <v>59</v>
      </c>
      <c r="D11" s="9" t="s">
        <v>60</v>
      </c>
      <c r="E11" s="2" t="s">
        <v>61</v>
      </c>
      <c r="F11" s="37" t="s">
        <v>62</v>
      </c>
      <c r="G11" s="37" t="s">
        <v>95</v>
      </c>
      <c r="H11" s="37" t="s">
        <v>95</v>
      </c>
      <c r="I11" s="37" t="s">
        <v>96</v>
      </c>
      <c r="J11" s="37" t="s">
        <v>105</v>
      </c>
      <c r="K11" s="53" t="s">
        <v>119</v>
      </c>
      <c r="L11" s="4" t="s">
        <v>63</v>
      </c>
    </row>
    <row r="12" spans="1:12" ht="62.5">
      <c r="A12" s="1">
        <v>8</v>
      </c>
      <c r="B12" s="13" t="s">
        <v>6</v>
      </c>
      <c r="C12" s="13" t="s">
        <v>59</v>
      </c>
      <c r="D12" s="9" t="s">
        <v>64</v>
      </c>
      <c r="E12" s="2" t="s">
        <v>65</v>
      </c>
      <c r="F12" s="37" t="s">
        <v>66</v>
      </c>
      <c r="G12" s="37" t="s">
        <v>96</v>
      </c>
      <c r="H12" s="37"/>
      <c r="I12" s="37"/>
      <c r="J12" s="37"/>
      <c r="K12" s="53" t="s">
        <v>120</v>
      </c>
      <c r="L12" s="23" t="s">
        <v>24</v>
      </c>
    </row>
    <row r="13" spans="1:12" ht="77.5">
      <c r="A13" s="40">
        <v>9</v>
      </c>
      <c r="B13" s="26" t="s">
        <v>9</v>
      </c>
      <c r="C13" s="26" t="s">
        <v>67</v>
      </c>
      <c r="D13" s="27" t="s">
        <v>12</v>
      </c>
      <c r="E13" s="28" t="s">
        <v>70</v>
      </c>
      <c r="F13" s="27" t="s">
        <v>69</v>
      </c>
      <c r="G13" s="27" t="s">
        <v>95</v>
      </c>
      <c r="H13" s="27" t="s">
        <v>95</v>
      </c>
      <c r="I13" s="27" t="s">
        <v>95</v>
      </c>
      <c r="J13" s="27" t="s">
        <v>99</v>
      </c>
      <c r="K13" s="26" t="s">
        <v>119</v>
      </c>
      <c r="L13" s="41" t="s">
        <v>68</v>
      </c>
    </row>
    <row r="14" spans="1:12" ht="37.5">
      <c r="A14" s="13">
        <v>10</v>
      </c>
      <c r="B14" s="13" t="s">
        <v>6</v>
      </c>
      <c r="C14" s="13" t="s">
        <v>67</v>
      </c>
      <c r="D14" s="9" t="s">
        <v>71</v>
      </c>
      <c r="E14" s="2" t="s">
        <v>72</v>
      </c>
      <c r="F14" s="9" t="s">
        <v>73</v>
      </c>
      <c r="G14" s="9" t="s">
        <v>96</v>
      </c>
      <c r="H14" s="9"/>
      <c r="I14" s="9"/>
      <c r="J14" s="9"/>
      <c r="K14" s="1" t="s">
        <v>120</v>
      </c>
      <c r="L14" s="2"/>
    </row>
    <row r="15" spans="1:12" ht="51">
      <c r="A15" s="14">
        <v>10</v>
      </c>
      <c r="B15" s="13" t="s">
        <v>9</v>
      </c>
      <c r="C15" s="13" t="s">
        <v>67</v>
      </c>
      <c r="D15" s="9" t="s">
        <v>71</v>
      </c>
      <c r="E15" s="2" t="s">
        <v>74</v>
      </c>
      <c r="F15" s="9" t="s">
        <v>13</v>
      </c>
      <c r="G15" s="9" t="s">
        <v>96</v>
      </c>
      <c r="H15" s="9"/>
      <c r="I15" s="9"/>
      <c r="J15" s="9"/>
      <c r="K15" s="1" t="s">
        <v>120</v>
      </c>
      <c r="L15" s="2" t="s">
        <v>14</v>
      </c>
    </row>
    <row r="16" spans="1:12" ht="25">
      <c r="A16" s="24">
        <v>11</v>
      </c>
      <c r="B16" s="25" t="s">
        <v>6</v>
      </c>
      <c r="C16" s="26" t="s">
        <v>75</v>
      </c>
      <c r="D16" s="27" t="s">
        <v>15</v>
      </c>
      <c r="E16" s="28" t="s">
        <v>77</v>
      </c>
      <c r="F16" s="27" t="s">
        <v>76</v>
      </c>
      <c r="G16" s="27" t="s">
        <v>95</v>
      </c>
      <c r="H16" s="27" t="s">
        <v>95</v>
      </c>
      <c r="I16" s="27" t="s">
        <v>95</v>
      </c>
      <c r="J16" s="27" t="s">
        <v>100</v>
      </c>
      <c r="K16" s="26" t="s">
        <v>119</v>
      </c>
      <c r="L16" s="28" t="s">
        <v>16</v>
      </c>
    </row>
    <row r="17" spans="1:12" ht="62.5">
      <c r="A17" s="42">
        <v>12</v>
      </c>
      <c r="B17" s="25" t="s">
        <v>6</v>
      </c>
      <c r="C17" s="26" t="s">
        <v>67</v>
      </c>
      <c r="D17" s="27" t="s">
        <v>78</v>
      </c>
      <c r="E17" s="28" t="s">
        <v>101</v>
      </c>
      <c r="F17" s="27" t="s">
        <v>102</v>
      </c>
      <c r="G17" s="27" t="s">
        <v>95</v>
      </c>
      <c r="H17" s="27" t="s">
        <v>95</v>
      </c>
      <c r="I17" s="27" t="s">
        <v>96</v>
      </c>
      <c r="J17" s="27" t="s">
        <v>104</v>
      </c>
      <c r="K17" s="26" t="s">
        <v>119</v>
      </c>
      <c r="L17" s="29" t="s">
        <v>103</v>
      </c>
    </row>
    <row r="18" spans="1:12" ht="62.5">
      <c r="A18" s="42">
        <v>13</v>
      </c>
      <c r="B18" s="26" t="s">
        <v>56</v>
      </c>
      <c r="C18" s="43" t="s">
        <v>40</v>
      </c>
      <c r="D18" s="27" t="s">
        <v>79</v>
      </c>
      <c r="E18" s="28" t="s">
        <v>81</v>
      </c>
      <c r="F18" s="27" t="s">
        <v>80</v>
      </c>
      <c r="G18" s="27" t="s">
        <v>95</v>
      </c>
      <c r="H18" s="27" t="s">
        <v>95</v>
      </c>
      <c r="I18" s="27" t="s">
        <v>96</v>
      </c>
      <c r="J18" s="27" t="s">
        <v>105</v>
      </c>
      <c r="K18" s="26" t="s">
        <v>119</v>
      </c>
      <c r="L18" s="44" t="s">
        <v>17</v>
      </c>
    </row>
    <row r="19" spans="1:12" ht="50">
      <c r="A19" s="42">
        <v>14</v>
      </c>
      <c r="B19" s="26" t="s">
        <v>56</v>
      </c>
      <c r="C19" s="43" t="s">
        <v>67</v>
      </c>
      <c r="D19" s="27" t="s">
        <v>18</v>
      </c>
      <c r="E19" s="28" t="s">
        <v>88</v>
      </c>
      <c r="F19" s="27" t="s">
        <v>89</v>
      </c>
      <c r="G19" s="27" t="s">
        <v>95</v>
      </c>
      <c r="H19" s="27" t="s">
        <v>95</v>
      </c>
      <c r="I19" s="27" t="s">
        <v>96</v>
      </c>
      <c r="J19" s="27" t="s">
        <v>106</v>
      </c>
      <c r="K19" s="26" t="s">
        <v>119</v>
      </c>
      <c r="L19" s="44" t="s">
        <v>90</v>
      </c>
    </row>
    <row r="20" spans="1:12" ht="35.5" customHeight="1">
      <c r="A20" s="13">
        <v>15</v>
      </c>
      <c r="B20" s="1" t="s">
        <v>83</v>
      </c>
      <c r="C20" s="13" t="s">
        <v>67</v>
      </c>
      <c r="D20" s="9" t="s">
        <v>19</v>
      </c>
      <c r="E20" s="2" t="s">
        <v>82</v>
      </c>
      <c r="F20" s="9" t="s">
        <v>20</v>
      </c>
      <c r="G20" s="9" t="s">
        <v>96</v>
      </c>
      <c r="H20" s="9"/>
      <c r="I20" s="9"/>
      <c r="J20" s="9"/>
      <c r="K20" s="1" t="s">
        <v>120</v>
      </c>
      <c r="L20" s="2" t="s">
        <v>14</v>
      </c>
    </row>
    <row r="21" spans="1:12" ht="75">
      <c r="A21" s="26">
        <v>16</v>
      </c>
      <c r="B21" s="26" t="s">
        <v>56</v>
      </c>
      <c r="C21" s="26" t="s">
        <v>59</v>
      </c>
      <c r="D21" s="27" t="s">
        <v>84</v>
      </c>
      <c r="E21" s="28" t="s">
        <v>107</v>
      </c>
      <c r="F21" s="27" t="s">
        <v>108</v>
      </c>
      <c r="G21" s="27" t="s">
        <v>95</v>
      </c>
      <c r="H21" s="27" t="s">
        <v>95</v>
      </c>
      <c r="I21" s="27" t="s">
        <v>95</v>
      </c>
      <c r="J21" s="27" t="s">
        <v>110</v>
      </c>
      <c r="K21" s="26" t="s">
        <v>119</v>
      </c>
      <c r="L21" s="45" t="s">
        <v>109</v>
      </c>
    </row>
    <row r="22" spans="1:12" ht="75">
      <c r="A22" s="42">
        <v>17</v>
      </c>
      <c r="B22" s="25" t="s">
        <v>56</v>
      </c>
      <c r="C22" s="26" t="s">
        <v>59</v>
      </c>
      <c r="D22" s="27" t="s">
        <v>85</v>
      </c>
      <c r="E22" s="28" t="s">
        <v>111</v>
      </c>
      <c r="F22" s="27" t="s">
        <v>112</v>
      </c>
      <c r="G22" s="27" t="s">
        <v>95</v>
      </c>
      <c r="H22" s="27" t="s">
        <v>95</v>
      </c>
      <c r="I22" s="27" t="s">
        <v>96</v>
      </c>
      <c r="J22" s="27" t="s">
        <v>105</v>
      </c>
      <c r="K22" s="26" t="s">
        <v>119</v>
      </c>
      <c r="L22" s="46" t="s">
        <v>21</v>
      </c>
    </row>
    <row r="23" spans="1:12" ht="25">
      <c r="A23" s="42">
        <v>18</v>
      </c>
      <c r="B23" s="25" t="s">
        <v>6</v>
      </c>
      <c r="C23" s="26" t="s">
        <v>86</v>
      </c>
      <c r="D23" s="27" t="s">
        <v>116</v>
      </c>
      <c r="E23" s="28" t="s">
        <v>87</v>
      </c>
      <c r="F23" s="27" t="s">
        <v>22</v>
      </c>
      <c r="G23" s="27" t="s">
        <v>95</v>
      </c>
      <c r="H23" s="27" t="s">
        <v>95</v>
      </c>
      <c r="I23" s="27" t="s">
        <v>96</v>
      </c>
      <c r="J23" s="27" t="s">
        <v>113</v>
      </c>
      <c r="K23" s="26" t="s">
        <v>119</v>
      </c>
      <c r="L23" s="46" t="s">
        <v>23</v>
      </c>
    </row>
    <row r="24" spans="1:12" ht="36">
      <c r="D24" s="11"/>
    </row>
  </sheetData>
  <hyperlinks>
    <hyperlink ref="L5" r:id="rId1" xr:uid="{00000000-0004-0000-0000-000000000000}"/>
    <hyperlink ref="L7" r:id="rId2" xr:uid="{00000000-0004-0000-0000-000001000000}"/>
    <hyperlink ref="L13" r:id="rId3" display="https://github.com/LeonardoGastaldo/labo2025v/blob/main/src/workflows/610_WorkFlow_6H_248887_63137_gerencial_julio.ipynb" xr:uid="{00000000-0004-0000-0000-000002000000}"/>
    <hyperlink ref="L17" r:id="rId4" display="https://github.com/carmentello/labo2025v/tree/main/src/experimento_metricaOptimizacion_x000a__x000a_https://github.com/cchasampi/experimento12_x000a_" xr:uid="{00000000-0004-0000-0000-000003000000}"/>
    <hyperlink ref="L18" r:id="rId5" xr:uid="{00000000-0004-0000-0000-000004000000}"/>
    <hyperlink ref="L21" r:id="rId6" display="https://github.com/gastonviveros2411/labo2025v/blob/main/Problema_16_grupo_A.ipynb" xr:uid="{00000000-0004-0000-0000-000005000000}"/>
    <hyperlink ref="L22" r:id="rId7" xr:uid="{00000000-0004-0000-0000-000006000000}"/>
    <hyperlink ref="L23" r:id="rId8" xr:uid="{00000000-0004-0000-0000-000007000000}"/>
    <hyperlink ref="L3" r:id="rId9" xr:uid="{734DEA79-5DB0-44A1-BD2B-2A95FF8F8D1D}"/>
    <hyperlink ref="L2" r:id="rId10" xr:uid="{DF0CAC85-C089-4BF5-9351-E8FF1102C6B1}"/>
    <hyperlink ref="L4" r:id="rId11" xr:uid="{3DBDB146-8EB6-4212-AE0C-D5FA6C2E6AAE}"/>
    <hyperlink ref="L6" r:id="rId12" xr:uid="{9BE97FE5-A8D2-4CD4-91D9-ACE686FB6D2C}"/>
    <hyperlink ref="L9" r:id="rId13" display="https://github.com/nicohorn/labo2025v" xr:uid="{2362A8D0-90B2-49C3-AD85-79CF3D885CDD}"/>
    <hyperlink ref="L12" r:id="rId14" xr:uid="{EF834449-FEB6-4C8D-8CA1-52338626ABC1}"/>
    <hyperlink ref="L19" r:id="rId15" xr:uid="{61CF125A-F64E-48A5-8C86-C2B9925405E3}"/>
  </hyperlinks>
  <pageMargins left="0.7" right="0.7" top="0.75" bottom="0.75" header="0.3" footer="0.3"/>
  <tableParts count="1">
    <tablePart r:id="rId1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CF9CB-0611-42A1-A3F0-8358E0E93E84}">
  <dimension ref="B1:L32"/>
  <sheetViews>
    <sheetView showGridLines="0" workbookViewId="0">
      <pane xSplit="2" ySplit="1" topLeftCell="C2" activePane="bottomRight" state="frozen"/>
      <selection pane="topRight" activeCell="C1" sqref="C1"/>
      <selection pane="bottomLeft" activeCell="A2" sqref="A2"/>
      <selection pane="bottomRight" activeCell="G1" sqref="G1:G1048576"/>
    </sheetView>
  </sheetViews>
  <sheetFormatPr defaultRowHeight="14" outlineLevelCol="1"/>
  <cols>
    <col min="1" max="1" width="1.90625" style="96" customWidth="1"/>
    <col min="2" max="2" width="18.90625" style="96" customWidth="1"/>
    <col min="3" max="3" width="63.54296875" style="96" customWidth="1"/>
    <col min="4" max="4" width="22.54296875" style="97" customWidth="1"/>
    <col min="5" max="5" width="2.08984375" style="97" customWidth="1"/>
    <col min="6" max="6" width="31.453125" style="96" customWidth="1"/>
    <col min="7" max="7" width="13.7265625" style="97" hidden="1" customWidth="1" outlineLevel="1"/>
    <col min="8" max="8" width="18.90625" style="97" customWidth="1" collapsed="1"/>
    <col min="9" max="9" width="40.36328125" style="97" customWidth="1"/>
    <col min="10" max="10" width="3.90625" style="96" customWidth="1"/>
    <col min="11" max="11" width="10.26953125" style="96" customWidth="1"/>
    <col min="12" max="12" width="57.26953125" style="96" bestFit="1" customWidth="1"/>
    <col min="13" max="16384" width="8.7265625" style="96"/>
  </cols>
  <sheetData>
    <row r="1" spans="2:12" ht="28" customHeight="1">
      <c r="B1" s="94" t="s">
        <v>149</v>
      </c>
      <c r="C1" s="94" t="s">
        <v>150</v>
      </c>
      <c r="D1" s="95" t="s">
        <v>151</v>
      </c>
      <c r="E1" s="95" t="s">
        <v>152</v>
      </c>
      <c r="F1" s="94" t="s">
        <v>153</v>
      </c>
      <c r="G1" s="95" t="s">
        <v>154</v>
      </c>
      <c r="H1" s="95" t="s">
        <v>155</v>
      </c>
      <c r="I1" s="95" t="s">
        <v>156</v>
      </c>
      <c r="K1" s="96" t="s">
        <v>157</v>
      </c>
      <c r="L1" s="96" t="s">
        <v>158</v>
      </c>
    </row>
    <row r="2" spans="2:12" ht="28" customHeight="1">
      <c r="B2" s="96" t="s">
        <v>127</v>
      </c>
      <c r="C2" s="96" t="s">
        <v>159</v>
      </c>
      <c r="D2" s="97" t="s">
        <v>160</v>
      </c>
      <c r="E2" s="97">
        <v>2</v>
      </c>
      <c r="F2" s="96" t="s">
        <v>161</v>
      </c>
      <c r="G2" s="97" t="s">
        <v>162</v>
      </c>
      <c r="H2" s="97" t="s">
        <v>163</v>
      </c>
      <c r="K2" s="96" t="s">
        <v>164</v>
      </c>
      <c r="L2" s="96" t="s">
        <v>165</v>
      </c>
    </row>
    <row r="3" spans="2:12" ht="28" customHeight="1">
      <c r="B3" s="96" t="s">
        <v>129</v>
      </c>
      <c r="C3" s="96" t="s">
        <v>166</v>
      </c>
      <c r="D3" s="97" t="s">
        <v>167</v>
      </c>
      <c r="E3" s="97">
        <v>1</v>
      </c>
      <c r="F3" s="96" t="s">
        <v>164</v>
      </c>
      <c r="G3" s="97" t="s">
        <v>162</v>
      </c>
      <c r="H3" s="97" t="s">
        <v>163</v>
      </c>
      <c r="K3" s="96" t="s">
        <v>168</v>
      </c>
      <c r="L3" s="96" t="s">
        <v>169</v>
      </c>
    </row>
    <row r="4" spans="2:12" ht="28" customHeight="1">
      <c r="B4" s="96" t="s">
        <v>130</v>
      </c>
      <c r="C4" s="96" t="s">
        <v>170</v>
      </c>
      <c r="D4" s="97" t="s">
        <v>171</v>
      </c>
      <c r="E4" s="97">
        <v>1.5</v>
      </c>
      <c r="F4" s="96" t="s">
        <v>172</v>
      </c>
      <c r="G4" s="97" t="s">
        <v>162</v>
      </c>
      <c r="H4" s="97" t="s">
        <v>163</v>
      </c>
      <c r="K4" s="96" t="s">
        <v>173</v>
      </c>
      <c r="L4" s="96" t="s">
        <v>174</v>
      </c>
    </row>
    <row r="5" spans="2:12" ht="28" customHeight="1">
      <c r="B5" s="96" t="s">
        <v>122</v>
      </c>
      <c r="C5" s="96" t="s">
        <v>175</v>
      </c>
      <c r="D5" s="97" t="s">
        <v>176</v>
      </c>
      <c r="E5" s="97">
        <v>1</v>
      </c>
      <c r="F5" s="96" t="s">
        <v>164</v>
      </c>
      <c r="G5" s="97" t="s">
        <v>162</v>
      </c>
      <c r="H5" s="97" t="s">
        <v>163</v>
      </c>
    </row>
    <row r="6" spans="2:12" ht="28" customHeight="1">
      <c r="B6" s="96" t="s">
        <v>121</v>
      </c>
      <c r="C6" s="96" t="s">
        <v>177</v>
      </c>
      <c r="D6" s="97" t="s">
        <v>178</v>
      </c>
      <c r="E6" s="97">
        <v>1</v>
      </c>
      <c r="F6" s="96" t="s">
        <v>164</v>
      </c>
      <c r="G6" s="97" t="s">
        <v>162</v>
      </c>
      <c r="H6" s="97" t="s">
        <v>163</v>
      </c>
    </row>
    <row r="7" spans="2:12" ht="28" customHeight="1">
      <c r="B7" s="96" t="s">
        <v>179</v>
      </c>
      <c r="C7" s="96" t="s">
        <v>180</v>
      </c>
      <c r="D7" s="97" t="s">
        <v>181</v>
      </c>
      <c r="E7" s="97">
        <v>2</v>
      </c>
      <c r="F7" s="96" t="s">
        <v>168</v>
      </c>
      <c r="H7" s="97" t="s">
        <v>182</v>
      </c>
      <c r="I7" s="97" t="s">
        <v>183</v>
      </c>
    </row>
    <row r="8" spans="2:12" ht="28" customHeight="1">
      <c r="B8" s="96" t="s">
        <v>184</v>
      </c>
      <c r="C8" s="96" t="s">
        <v>185</v>
      </c>
      <c r="D8" s="97" t="s">
        <v>186</v>
      </c>
      <c r="E8" s="97">
        <v>2.5</v>
      </c>
      <c r="F8" s="96" t="s">
        <v>187</v>
      </c>
      <c r="H8" s="97">
        <v>0</v>
      </c>
    </row>
    <row r="9" spans="2:12" ht="28" customHeight="1">
      <c r="B9" s="96" t="s">
        <v>188</v>
      </c>
      <c r="C9" s="96" t="s">
        <v>189</v>
      </c>
      <c r="D9" s="97" t="s">
        <v>190</v>
      </c>
      <c r="E9" s="97">
        <v>2.5</v>
      </c>
      <c r="F9" s="96" t="s">
        <v>187</v>
      </c>
      <c r="H9" s="97">
        <v>0</v>
      </c>
    </row>
    <row r="10" spans="2:12" ht="28" customHeight="1">
      <c r="B10" s="96" t="s">
        <v>191</v>
      </c>
      <c r="C10" s="96" t="s">
        <v>192</v>
      </c>
      <c r="D10" s="97" t="s">
        <v>186</v>
      </c>
      <c r="E10" s="97">
        <v>3</v>
      </c>
      <c r="F10" s="96" t="s">
        <v>173</v>
      </c>
      <c r="H10" s="97">
        <v>0</v>
      </c>
    </row>
    <row r="11" spans="2:12" ht="28" customHeight="1">
      <c r="B11" s="96" t="s">
        <v>193</v>
      </c>
      <c r="C11" s="96" t="s">
        <v>194</v>
      </c>
      <c r="D11" s="97" t="s">
        <v>171</v>
      </c>
      <c r="E11" s="97">
        <v>2</v>
      </c>
      <c r="F11" s="96" t="s">
        <v>168</v>
      </c>
      <c r="G11" s="97" t="s">
        <v>162</v>
      </c>
      <c r="H11" s="97" t="s">
        <v>163</v>
      </c>
    </row>
    <row r="12" spans="2:12" ht="28" customHeight="1">
      <c r="B12" s="96" t="s">
        <v>195</v>
      </c>
      <c r="C12" s="96" t="s">
        <v>196</v>
      </c>
      <c r="D12" s="97" t="s">
        <v>197</v>
      </c>
      <c r="E12" s="97">
        <v>2.5</v>
      </c>
      <c r="F12" s="96" t="s">
        <v>187</v>
      </c>
      <c r="G12" s="97" t="s">
        <v>162</v>
      </c>
      <c r="H12" s="97" t="s">
        <v>163</v>
      </c>
      <c r="I12" s="97" t="s">
        <v>198</v>
      </c>
    </row>
    <row r="13" spans="2:12" ht="28" customHeight="1">
      <c r="B13" s="96" t="s">
        <v>199</v>
      </c>
      <c r="C13" s="96" t="s">
        <v>200</v>
      </c>
      <c r="D13" s="97" t="s">
        <v>197</v>
      </c>
      <c r="E13" s="97">
        <v>3</v>
      </c>
      <c r="F13" s="96" t="s">
        <v>173</v>
      </c>
      <c r="H13" s="97">
        <v>1E-3</v>
      </c>
    </row>
    <row r="14" spans="2:12" ht="28" customHeight="1">
      <c r="B14" s="98" t="s">
        <v>201</v>
      </c>
      <c r="C14" s="96" t="s">
        <v>202</v>
      </c>
      <c r="D14" s="97" t="s">
        <v>203</v>
      </c>
      <c r="E14" s="97">
        <v>2</v>
      </c>
      <c r="F14" s="96" t="s">
        <v>204</v>
      </c>
      <c r="H14" s="97" t="s">
        <v>205</v>
      </c>
    </row>
    <row r="15" spans="2:12" ht="28" customHeight="1">
      <c r="B15" s="96" t="s">
        <v>206</v>
      </c>
      <c r="C15" s="96" t="s">
        <v>207</v>
      </c>
      <c r="D15" s="97" t="s">
        <v>208</v>
      </c>
      <c r="E15" s="97">
        <v>3</v>
      </c>
      <c r="F15" s="96" t="s">
        <v>209</v>
      </c>
      <c r="H15" s="97" t="b">
        <v>1</v>
      </c>
    </row>
    <row r="16" spans="2:12" ht="28" customHeight="1">
      <c r="B16" s="98" t="s">
        <v>210</v>
      </c>
      <c r="C16" s="96" t="s">
        <v>211</v>
      </c>
      <c r="D16" s="97" t="s">
        <v>212</v>
      </c>
      <c r="E16" s="97">
        <v>2</v>
      </c>
      <c r="F16" s="96" t="s">
        <v>213</v>
      </c>
      <c r="H16" s="97" t="s">
        <v>214</v>
      </c>
      <c r="I16" s="97" t="s">
        <v>215</v>
      </c>
    </row>
    <row r="17" spans="2:9" ht="28" customHeight="1">
      <c r="B17" s="96" t="s">
        <v>216</v>
      </c>
      <c r="C17" s="96" t="s">
        <v>217</v>
      </c>
      <c r="D17" s="97" t="s">
        <v>218</v>
      </c>
      <c r="E17" s="97">
        <v>3</v>
      </c>
      <c r="F17" s="96" t="s">
        <v>173</v>
      </c>
      <c r="H17" s="97" t="b">
        <v>0</v>
      </c>
    </row>
    <row r="18" spans="2:9" ht="28" customHeight="1">
      <c r="B18" s="96" t="s">
        <v>219</v>
      </c>
      <c r="C18" s="96" t="s">
        <v>220</v>
      </c>
      <c r="D18" s="97" t="s">
        <v>221</v>
      </c>
      <c r="E18" s="97">
        <v>3</v>
      </c>
      <c r="F18" s="96" t="s">
        <v>222</v>
      </c>
      <c r="H18" s="97">
        <v>0.1</v>
      </c>
      <c r="I18" s="97" t="s">
        <v>223</v>
      </c>
    </row>
    <row r="19" spans="2:9" ht="28" customHeight="1">
      <c r="B19" s="96" t="s">
        <v>224</v>
      </c>
      <c r="C19" s="96" t="s">
        <v>225</v>
      </c>
      <c r="D19" s="97" t="s">
        <v>226</v>
      </c>
      <c r="E19" s="97">
        <v>3</v>
      </c>
      <c r="F19" s="96" t="s">
        <v>227</v>
      </c>
      <c r="H19" s="97">
        <v>50</v>
      </c>
      <c r="I19" s="97" t="s">
        <v>223</v>
      </c>
    </row>
    <row r="20" spans="2:9" ht="28" customHeight="1">
      <c r="B20" s="96" t="s">
        <v>228</v>
      </c>
      <c r="C20" s="96" t="s">
        <v>229</v>
      </c>
      <c r="D20" s="97" t="s">
        <v>230</v>
      </c>
      <c r="E20" s="97">
        <v>3</v>
      </c>
      <c r="F20" s="96" t="s">
        <v>227</v>
      </c>
      <c r="H20" s="97">
        <v>0.5</v>
      </c>
      <c r="I20" s="97" t="s">
        <v>223</v>
      </c>
    </row>
    <row r="21" spans="2:9" ht="28" customHeight="1">
      <c r="B21" s="96" t="s">
        <v>231</v>
      </c>
      <c r="C21" s="96" t="s">
        <v>232</v>
      </c>
      <c r="D21" s="97" t="s">
        <v>233</v>
      </c>
      <c r="E21" s="97">
        <v>3</v>
      </c>
      <c r="F21" s="96" t="s">
        <v>234</v>
      </c>
      <c r="H21" s="97" t="b">
        <v>0</v>
      </c>
    </row>
    <row r="22" spans="2:9" ht="28" customHeight="1">
      <c r="B22" s="96" t="s">
        <v>235</v>
      </c>
      <c r="C22" s="96" t="s">
        <v>236</v>
      </c>
      <c r="D22" s="97" t="s">
        <v>233</v>
      </c>
      <c r="E22" s="97">
        <v>3</v>
      </c>
      <c r="F22" s="96" t="s">
        <v>234</v>
      </c>
      <c r="H22" s="97" t="b">
        <v>1</v>
      </c>
    </row>
    <row r="23" spans="2:9" ht="70">
      <c r="B23" s="96" t="s">
        <v>237</v>
      </c>
      <c r="C23" s="96" t="s">
        <v>238</v>
      </c>
      <c r="D23" s="97" t="s">
        <v>239</v>
      </c>
      <c r="E23" s="97">
        <v>2</v>
      </c>
      <c r="F23" s="96" t="s">
        <v>240</v>
      </c>
      <c r="H23" s="97" t="b">
        <v>0</v>
      </c>
    </row>
    <row r="24" spans="2:9" ht="42">
      <c r="B24" s="98" t="s">
        <v>241</v>
      </c>
      <c r="C24" s="96" t="s">
        <v>242</v>
      </c>
      <c r="D24" s="97" t="s">
        <v>243</v>
      </c>
      <c r="E24" s="97">
        <v>1.5</v>
      </c>
      <c r="F24" s="96" t="s">
        <v>244</v>
      </c>
      <c r="G24" s="97" t="s">
        <v>162</v>
      </c>
      <c r="H24" s="97" t="s">
        <v>163</v>
      </c>
      <c r="I24" s="97" t="s">
        <v>245</v>
      </c>
    </row>
    <row r="25" spans="2:9" ht="28">
      <c r="B25" s="98" t="s">
        <v>246</v>
      </c>
      <c r="C25" s="96" t="s">
        <v>247</v>
      </c>
      <c r="D25" s="97" t="s">
        <v>248</v>
      </c>
      <c r="E25" s="97">
        <v>2</v>
      </c>
      <c r="F25" s="96" t="s">
        <v>249</v>
      </c>
      <c r="H25" s="97">
        <v>1</v>
      </c>
      <c r="I25" s="97" t="s">
        <v>250</v>
      </c>
    </row>
    <row r="26" spans="2:9" ht="28">
      <c r="B26" s="98" t="s">
        <v>251</v>
      </c>
      <c r="C26" s="99" t="s">
        <v>252</v>
      </c>
      <c r="D26" s="97" t="s">
        <v>253</v>
      </c>
      <c r="E26" s="97">
        <v>2</v>
      </c>
      <c r="F26" s="96" t="s">
        <v>249</v>
      </c>
      <c r="H26" s="97">
        <v>1</v>
      </c>
      <c r="I26" s="97" t="s">
        <v>250</v>
      </c>
    </row>
    <row r="27" spans="2:9" ht="62.5">
      <c r="B27" s="96" t="s">
        <v>254</v>
      </c>
      <c r="C27" s="96" t="s">
        <v>255</v>
      </c>
      <c r="D27" s="97" t="s">
        <v>256</v>
      </c>
      <c r="E27" s="97">
        <v>2</v>
      </c>
      <c r="F27" s="96" t="s">
        <v>257</v>
      </c>
      <c r="H27" s="97" t="s">
        <v>258</v>
      </c>
      <c r="I27" s="100" t="s">
        <v>259</v>
      </c>
    </row>
    <row r="28" spans="2:9" ht="70">
      <c r="B28" s="96" t="s">
        <v>128</v>
      </c>
      <c r="C28" s="96" t="s">
        <v>260</v>
      </c>
      <c r="D28" s="97" t="s">
        <v>261</v>
      </c>
      <c r="E28" s="97">
        <v>2</v>
      </c>
      <c r="F28" s="96" t="s">
        <v>262</v>
      </c>
      <c r="I28" s="97" t="s">
        <v>263</v>
      </c>
    </row>
    <row r="29" spans="2:9" ht="28" customHeight="1">
      <c r="B29" s="96" t="s">
        <v>264</v>
      </c>
      <c r="C29" s="96" t="s">
        <v>265</v>
      </c>
      <c r="D29" s="97" t="s">
        <v>171</v>
      </c>
      <c r="E29" s="97">
        <v>2</v>
      </c>
      <c r="F29" s="96" t="s">
        <v>266</v>
      </c>
      <c r="H29" s="97">
        <v>1</v>
      </c>
      <c r="I29" s="97" t="s">
        <v>267</v>
      </c>
    </row>
    <row r="30" spans="2:9" ht="42">
      <c r="B30" s="96" t="s">
        <v>268</v>
      </c>
      <c r="C30" s="96" t="s">
        <v>269</v>
      </c>
      <c r="D30" s="97" t="s">
        <v>270</v>
      </c>
      <c r="E30" s="97">
        <v>3</v>
      </c>
      <c r="F30" s="96" t="s">
        <v>271</v>
      </c>
      <c r="H30" s="97" t="b">
        <v>0</v>
      </c>
      <c r="I30" s="97" t="s">
        <v>272</v>
      </c>
    </row>
    <row r="31" spans="2:9" ht="56">
      <c r="B31" s="96" t="s">
        <v>273</v>
      </c>
      <c r="C31" s="96" t="s">
        <v>274</v>
      </c>
      <c r="D31" s="101" t="s">
        <v>275</v>
      </c>
      <c r="E31" s="97">
        <v>3</v>
      </c>
      <c r="F31" s="96" t="s">
        <v>276</v>
      </c>
      <c r="H31" s="97">
        <v>-100</v>
      </c>
      <c r="I31" s="97" t="s">
        <v>277</v>
      </c>
    </row>
    <row r="32" spans="2:9" ht="56">
      <c r="B32" s="96" t="s">
        <v>278</v>
      </c>
      <c r="C32" s="96" t="s">
        <v>279</v>
      </c>
      <c r="D32" s="97" t="s">
        <v>280</v>
      </c>
      <c r="E32" s="97">
        <v>3</v>
      </c>
      <c r="F32" s="96" t="s">
        <v>271</v>
      </c>
      <c r="H32" s="97" t="b">
        <v>0</v>
      </c>
      <c r="I32" s="97" t="s">
        <v>272</v>
      </c>
    </row>
  </sheetData>
  <conditionalFormatting sqref="E2:E32">
    <cfRule type="colorScale" priority="1">
      <colorScale>
        <cfvo type="min"/>
        <cfvo type="percentile" val="50"/>
        <cfvo type="max"/>
        <color rgb="FF63BE7B"/>
        <color rgb="FFFFEB84"/>
        <color rgb="FFF8696B"/>
      </colorScale>
    </cfRule>
  </conditionalFormatting>
  <hyperlinks>
    <hyperlink ref="B14" location="Boosting!A1" display="boosting" xr:uid="{F9C330F9-0AA0-46E6-9466-DE4C12EDE493}"/>
    <hyperlink ref="B16" location="Objective!A1" display="objective" xr:uid="{B96523BD-CA56-4471-A3C9-C5C90BA2E676}"/>
    <hyperlink ref="B24" location="'Clases Desbalanceadas'!A1" display="scale_pos_weight" xr:uid="{AC5E0AF2-6E44-4803-BD0F-48F6AB949139}"/>
    <hyperlink ref="B25" location="'Clases Desbalanceadas'!A1" display="pos_bagging_fraction" xr:uid="{FE319BCA-3940-4A3F-8FD2-6486B452F279}"/>
    <hyperlink ref="B26" location="'Clases Desbalanceadas'!A1" display="neg_bagging_fraction" xr:uid="{D11D0A84-EB00-4C98-BD87-26C5F02DE477}"/>
  </hyperlink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D005E-9F2F-4B68-8870-F3F1C909C383}">
  <dimension ref="A1"/>
  <sheetViews>
    <sheetView workbookViewId="0">
      <selection activeCell="N9" sqref="N9"/>
    </sheetView>
  </sheetViews>
  <sheetFormatPr defaultRowHeight="1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Resultados</vt:lpstr>
      <vt:lpstr>Pasos a Seguir</vt:lpstr>
      <vt:lpstr>Experimentos</vt:lpstr>
      <vt:lpstr>Hyperparameters</vt:lpstr>
      <vt:lpstr>Variables Rotas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PEREYRA HUERTAS Lucia TENARIS</cp:lastModifiedBy>
  <dcterms:modified xsi:type="dcterms:W3CDTF">2025-12-01T01:59:53Z</dcterms:modified>
</cp:coreProperties>
</file>